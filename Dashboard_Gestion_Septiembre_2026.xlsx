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icitados vs Cerrados" sheetId="2" r:id="rId2"/>
    <sheet name="Carga por Colaborador" sheetId="3" r:id="rId3"/>
    <sheet name="Proyectos y Rutas" sheetId="4" r:id="rId4"/>
  </sheets>
  <definedNames>
    <definedName name="_xlnm._FilterDatabase" localSheetId="3" hidden="1">'Proyectos y Rutas'!$A$1:$K$40</definedName>
  </definedNames>
  <calcPr calcId="124519" fullCalcOnLoad="1"/>
</workbook>
</file>

<file path=xl/sharedStrings.xml><?xml version="1.0" encoding="utf-8"?>
<sst xmlns="http://schemas.openxmlformats.org/spreadsheetml/2006/main" count="365" uniqueCount="144">
  <si>
    <t>Reporte de Gestión</t>
  </si>
  <si>
    <t>Período: Septiembre 2026</t>
  </si>
  <si>
    <t>Categoría</t>
  </si>
  <si>
    <t>Solicitados en el período</t>
  </si>
  <si>
    <t>Entregados/Cerrados en el período</t>
  </si>
  <si>
    <t>Promedio de días en cerrar</t>
  </si>
  <si>
    <t>Abiertos actuales</t>
  </si>
  <si>
    <t>Cerrados actuales</t>
  </si>
  <si>
    <t>Proyectos</t>
  </si>
  <si>
    <t>Rutas y Tiempos</t>
  </si>
  <si>
    <t>TOTAL</t>
  </si>
  <si>
    <t>Estado actual de las solicitudes</t>
  </si>
  <si>
    <t>Cerrado</t>
  </si>
  <si>
    <t>A tiempo</t>
  </si>
  <si>
    <t>Suspendido</t>
  </si>
  <si>
    <t>Vencido</t>
  </si>
  <si>
    <t>“Cerrados en el período” cuenta solo cierres hasta el 30/09/2026. Todas las cifras se calculan desde la hoja “Proyectos y Rutas”.</t>
  </si>
  <si>
    <t>Solicitados vs Cerrados — Septiembre 2026</t>
  </si>
  <si>
    <t>Solicitudes recibidas y cerradas por semana (según fecha de solicitud y fecha de cierre)</t>
  </si>
  <si>
    <t>PROYECTOS</t>
  </si>
  <si>
    <t>Semana</t>
  </si>
  <si>
    <t>Desde</t>
  </si>
  <si>
    <t>Hasta</t>
  </si>
  <si>
    <t>Solicitados</t>
  </si>
  <si>
    <t>Cerrados</t>
  </si>
  <si>
    <t>Abiertos (acum.)</t>
  </si>
  <si>
    <t>Sem 1 (1–7 sep)</t>
  </si>
  <si>
    <t>Sem 2 (8–14 sep)</t>
  </si>
  <si>
    <t>Sem 3 (15–21 sep)</t>
  </si>
  <si>
    <t>Sem 4 (22–28 sep)</t>
  </si>
  <si>
    <t>Sem 5 (29–30 sep)</t>
  </si>
  <si>
    <t>TOTAL SEPTIEMBRE</t>
  </si>
  <si>
    <t>RUTAS Y TIEMPOS</t>
  </si>
  <si>
    <t>Cerrados cuenta las solicitudes cuya fecha de cierre cae en esa semana (hasta el 30/09). Abiertos (acum.) = solicitudes pendientes al final de la semana.</t>
  </si>
  <si>
    <t>Carga de trabajo y cierres por colaborador — Septiembre 2026</t>
  </si>
  <si>
    <t>Colaborador</t>
  </si>
  <si>
    <t>Carga total</t>
  </si>
  <si>
    <t>Carga actual</t>
  </si>
  <si>
    <t>Cerradas en el período</t>
  </si>
  <si>
    <t>Vencidas</t>
  </si>
  <si>
    <t>Suspendidas</t>
  </si>
  <si>
    <t>Carlos Martinez</t>
  </si>
  <si>
    <t>Edwin Meza</t>
  </si>
  <si>
    <t>Henry Candelario</t>
  </si>
  <si>
    <t>Carga total incluye trabajo previo al período; los datos vienen del reporte original.</t>
  </si>
  <si>
    <t>Nombre</t>
  </si>
  <si>
    <t>RS</t>
  </si>
  <si>
    <t>Cliente</t>
  </si>
  <si>
    <t>Solicitado por</t>
  </si>
  <si>
    <t>Responsable</t>
  </si>
  <si>
    <t>Fecha solicitud</t>
  </si>
  <si>
    <t>Fecha cierre</t>
  </si>
  <si>
    <t>Días en cerrar</t>
  </si>
  <si>
    <t>Estado</t>
  </si>
  <si>
    <t>Prioridad</t>
  </si>
  <si>
    <t>PRUEBA BANDA LIJA PROOVEDOR VSM</t>
  </si>
  <si>
    <t>Proyecto</t>
  </si>
  <si>
    <t>Relianz</t>
  </si>
  <si>
    <t>Juan Lujan</t>
  </si>
  <si>
    <t>Media</t>
  </si>
  <si>
    <t>Seguimiento bandas VSM</t>
  </si>
  <si>
    <t>Definición y estandarización de criterios de reparación para alojamientos de válvulas en pistones levante e inclinacion</t>
  </si>
  <si>
    <t>STOCK TORNILLOS AREA INGENIERIA</t>
  </si>
  <si>
    <t>SUPERFINISHER</t>
  </si>
  <si>
    <t>Guardas protectoras</t>
  </si>
  <si>
    <t>HUNGER3500 Raw Material Tension Cylinder</t>
  </si>
  <si>
    <t>Ruta y tiempo</t>
  </si>
  <si>
    <t>RS00081109</t>
  </si>
  <si>
    <t>Zona Franca Argos</t>
  </si>
  <si>
    <t>Johana Miranda</t>
  </si>
  <si>
    <t>FABRICACION DE VASTAGO CATERPILLAR</t>
  </si>
  <si>
    <t>RS00067716</t>
  </si>
  <si>
    <t>Ricardo Castilla</t>
  </si>
  <si>
    <t>PRUEBA RECTIFICADO CONO GRINDER</t>
  </si>
  <si>
    <t>Carlos Lopez</t>
  </si>
  <si>
    <t>Cilindro Hidráulico Gato Principal</t>
  </si>
  <si>
    <t>RS00081361</t>
  </si>
  <si>
    <t>CARBONES DEL CERREJON</t>
  </si>
  <si>
    <t>RS00081360</t>
  </si>
  <si>
    <t>RECUPERACIÓN RODILLO GALVANIZADO</t>
  </si>
  <si>
    <t>OP00088201</t>
  </si>
  <si>
    <t>CORPACERO</t>
  </si>
  <si>
    <t>Alfredo Granados</t>
  </si>
  <si>
    <t>Junta de Nylon Bipartida</t>
  </si>
  <si>
    <t>OP00088854</t>
  </si>
  <si>
    <t>HIDRAULICO DE TALLER HWE</t>
  </si>
  <si>
    <t>RS00066229</t>
  </si>
  <si>
    <t>HWE</t>
  </si>
  <si>
    <t>Yenifer Ramirez</t>
  </si>
  <si>
    <t>Barra Estabilizadora</t>
  </si>
  <si>
    <t>RS00080540</t>
  </si>
  <si>
    <t>Cerrjon</t>
  </si>
  <si>
    <t>Camisa de Balde</t>
  </si>
  <si>
    <t>RS00080597</t>
  </si>
  <si>
    <t>Maritime And Port Engineering Sa (Mapesa)</t>
  </si>
  <si>
    <t>Cilindro Levante Segunda Seccion</t>
  </si>
  <si>
    <t>RS00080478</t>
  </si>
  <si>
    <t>Machine Shop</t>
  </si>
  <si>
    <t>Cilindro Hidráulico Sideshifter</t>
  </si>
  <si>
    <t>RS00080259</t>
  </si>
  <si>
    <t>ASSEMBLY SDI</t>
  </si>
  <si>
    <t>Pull Down</t>
  </si>
  <si>
    <t>RS00080348</t>
  </si>
  <si>
    <t>Petroworks S.A.S</t>
  </si>
  <si>
    <t>Yesid Fren</t>
  </si>
  <si>
    <t>Alta</t>
  </si>
  <si>
    <t>LOW BOY ( MAIN LIFT)</t>
  </si>
  <si>
    <t>RS00079955</t>
  </si>
  <si>
    <t>Drummond</t>
  </si>
  <si>
    <t>DISPOSITIVO AGUJAS DEVAP</t>
  </si>
  <si>
    <t>Carlos Ovallos</t>
  </si>
  <si>
    <t>PRUEBA BANDA LIJA 180 POLICHADO</t>
  </si>
  <si>
    <t>Optimización de Parámetros de Roscado con Machuelo en Máquinas CNC</t>
  </si>
  <si>
    <t>FALCON 1000 1ER ETAPA</t>
  </si>
  <si>
    <t>RS00076606 Y RS00076627</t>
  </si>
  <si>
    <t>Alberto suarez</t>
  </si>
  <si>
    <t>Cilindro Levante Manipulador</t>
  </si>
  <si>
    <t>RS00079091</t>
  </si>
  <si>
    <t>Front Leveling Cylinder</t>
  </si>
  <si>
    <t>RS00080531</t>
  </si>
  <si>
    <t>Luisa Olmos</t>
  </si>
  <si>
    <t>Pines Blade 854</t>
  </si>
  <si>
    <t>RS00080800</t>
  </si>
  <si>
    <t>Cromar varios vastagos</t>
  </si>
  <si>
    <t>Mejoramiento del cromado para rotores</t>
  </si>
  <si>
    <t>Instalar Mandriles en el centro punto de los torno convencionales</t>
  </si>
  <si>
    <t>PUNTO FIJO GRANALLADO</t>
  </si>
  <si>
    <t>Escuadra Para Alesadoras CNC</t>
  </si>
  <si>
    <t>vástago servomotor</t>
  </si>
  <si>
    <t>OP00081196</t>
  </si>
  <si>
    <t>EPM</t>
  </si>
  <si>
    <t>Jaison Sierra</t>
  </si>
  <si>
    <t>PIN CARGADOR VOLVO</t>
  </si>
  <si>
    <t>RS00080260 / RS00080272</t>
  </si>
  <si>
    <t>Compañia De Puertos Asociados S.A.</t>
  </si>
  <si>
    <t>PUNTO FIJO GRINDER</t>
  </si>
  <si>
    <t>Cilindro Hidráulico</t>
  </si>
  <si>
    <t>RS00067779</t>
  </si>
  <si>
    <t>Correción Soldadura viajeros</t>
  </si>
  <si>
    <t>Fabricación de vástago servomotor</t>
  </si>
  <si>
    <t>Hunan Heye Metal Material Co</t>
  </si>
  <si>
    <t>Cilindro Proping</t>
  </si>
  <si>
    <t>RS00077546</t>
  </si>
  <si>
    <t>Sociedad Portuaria Puerto Bahía S.A</t>
  </si>
</sst>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8">
    <font>
      <sz val="11"/>
      <color theme="1"/>
      <name val="Calibri"/>
      <family val="2"/>
      <scheme val="minor"/>
    </font>
    <font>
      <b/>
      <sz val="20"/>
      <color rgb="FF1F2937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2A78D6"/>
        <bgColor indexed="64"/>
      </patternFill>
    </fill>
    <fill>
      <patternFill patternType="solid">
        <fgColor rgb="FFEB6834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0" fillId="0" borderId="2" xfId="0" applyNumberForma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ECACA"/>
        </patternFill>
      </fill>
    </dxf>
    <dxf>
      <fill>
        <patternFill>
          <bgColor rgb="FFFDE68A"/>
        </patternFill>
      </fill>
    </dxf>
    <dxf>
      <fill>
        <patternFill>
          <bgColor rgb="FFBBF7D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/>
            </a:pPr>
            <a:r>
              <a:rPr lang="en-US" sz="1300" baseline="0"/>
              <a:t>Estado actual por categoría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Resumen!$C$10</c:f>
              <c:strCache>
                <c:ptCount val="1"/>
                <c:pt idx="0">
                  <c:v>Cerrado</c:v>
                </c:pt>
              </c:strCache>
            </c:strRef>
          </c:tx>
          <c:spPr>
            <a:solidFill>
              <a:srgbClr val="0CA30C"/>
            </a:solidFill>
            <a:ln w="19050">
              <a:solidFill>
                <a:srgbClr val="FFFFFF"/>
              </a:solidFill>
            </a:ln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Resumen!$B$11:$B$12</c:f>
              <c:strCache>
                <c:ptCount val="2"/>
                <c:pt idx="0">
                  <c:v>Proyectos</c:v>
                </c:pt>
                <c:pt idx="1">
                  <c:v>Rutas y Tiempos</c:v>
                </c:pt>
              </c:strCache>
            </c:strRef>
          </c:cat>
          <c:val>
            <c:numRef>
              <c:f>Resumen!$C$11:$C$12</c:f>
              <c:numCache>
                <c:formatCode>General</c:formatCode>
                <c:ptCount val="2"/>
                <c:pt idx="0">
                  <c:v>3</c:v>
                </c:pt>
                <c:pt idx="1">
                  <c:v>18</c:v>
                </c:pt>
              </c:numCache>
            </c:numRef>
          </c:val>
        </c:ser>
        <c:ser>
          <c:idx val="1"/>
          <c:order val="1"/>
          <c:tx>
            <c:strRef>
              <c:f>Resumen!$D$10</c:f>
              <c:strCache>
                <c:ptCount val="1"/>
                <c:pt idx="0">
                  <c:v>A tiempo</c:v>
                </c:pt>
              </c:strCache>
            </c:strRef>
          </c:tx>
          <c:spPr>
            <a:solidFill>
              <a:srgbClr val="A9A79F"/>
            </a:solidFill>
            <a:ln w="19050">
              <a:solidFill>
                <a:srgbClr val="FFFFFF"/>
              </a:solidFill>
            </a:ln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Resumen!$B$11:$B$12</c:f>
              <c:strCache>
                <c:ptCount val="2"/>
                <c:pt idx="0">
                  <c:v>Proyectos</c:v>
                </c:pt>
                <c:pt idx="1">
                  <c:v>Rutas y Tiempos</c:v>
                </c:pt>
              </c:strCache>
            </c:strRef>
          </c:cat>
          <c:val>
            <c:numRef>
              <c:f>Resumen!$D$11:$D$12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Resumen!$E$10</c:f>
              <c:strCache>
                <c:ptCount val="1"/>
                <c:pt idx="0">
                  <c:v>Suspendido</c:v>
                </c:pt>
              </c:strCache>
            </c:strRef>
          </c:tx>
          <c:spPr>
            <a:solidFill>
              <a:srgbClr val="EC835A"/>
            </a:solidFill>
            <a:ln w="19050">
              <a:solidFill>
                <a:srgbClr val="FFFFFF"/>
              </a:solidFill>
            </a:ln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Resumen!$B$11:$B$12</c:f>
              <c:strCache>
                <c:ptCount val="2"/>
                <c:pt idx="0">
                  <c:v>Proyectos</c:v>
                </c:pt>
                <c:pt idx="1">
                  <c:v>Rutas y Tiempos</c:v>
                </c:pt>
              </c:strCache>
            </c:strRef>
          </c:cat>
          <c:val>
            <c:numRef>
              <c:f>Resumen!$E$11:$E$12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strRef>
              <c:f>Resumen!$F$10</c:f>
              <c:strCache>
                <c:ptCount val="1"/>
                <c:pt idx="0">
                  <c:v>Vencido</c:v>
                </c:pt>
              </c:strCache>
            </c:strRef>
          </c:tx>
          <c:spPr>
            <a:solidFill>
              <a:srgbClr val="D03B3B"/>
            </a:solidFill>
            <a:ln w="19050">
              <a:solidFill>
                <a:srgbClr val="FFFFFF"/>
              </a:solidFill>
            </a:ln>
          </c:spPr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Resumen!$B$11:$B$12</c:f>
              <c:strCache>
                <c:ptCount val="2"/>
                <c:pt idx="0">
                  <c:v>Proyectos</c:v>
                </c:pt>
                <c:pt idx="1">
                  <c:v>Rutas y Tiempos</c:v>
                </c:pt>
              </c:strCache>
            </c:strRef>
          </c:cat>
          <c:val>
            <c:numRef>
              <c:f>Resumen!$F$11:$F$12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/>
            </a:pPr>
            <a:r>
              <a:rPr lang="en-US" sz="1300" baseline="0"/>
              <a:t>Proyectos: solicitados vs cerrados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'Solicitados vs Cerrados'!$E$5</c:f>
              <c:strCache>
                <c:ptCount val="1"/>
                <c:pt idx="0">
                  <c:v>Solicitados</c:v>
                </c:pt>
              </c:strCache>
            </c:strRef>
          </c:tx>
          <c:spPr>
            <a:solidFill>
              <a:srgbClr val="2A78D6"/>
            </a:solidFill>
          </c:spPr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'Solicitados vs Cerrados'!$B$6:$B$10</c:f>
              <c:strCache>
                <c:ptCount val="5"/>
                <c:pt idx="0">
                  <c:v>Sem 1 (1–7 sep)</c:v>
                </c:pt>
                <c:pt idx="1">
                  <c:v>Sem 2 (8–14 sep)</c:v>
                </c:pt>
                <c:pt idx="2">
                  <c:v>Sem 3 (15–21 sep)</c:v>
                </c:pt>
                <c:pt idx="3">
                  <c:v>Sem 4 (22–28 sep)</c:v>
                </c:pt>
                <c:pt idx="4">
                  <c:v>Sem 5 (29–30 sep)</c:v>
                </c:pt>
              </c:strCache>
            </c:strRef>
          </c:cat>
          <c:val>
            <c:numRef>
              <c:f>'Solicitados vs Cerrados'!$E$6:$E$10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0</c:v>
                </c:pt>
                <c:pt idx="3">
                  <c:v>7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'Solicitados vs Cerrados'!$F$5</c:f>
              <c:strCache>
                <c:ptCount val="1"/>
                <c:pt idx="0">
                  <c:v>Cerrados</c:v>
                </c:pt>
              </c:strCache>
            </c:strRef>
          </c:tx>
          <c:spPr>
            <a:solidFill>
              <a:srgbClr val="0CA30C"/>
            </a:solidFill>
          </c:spPr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'Solicitados vs Cerrados'!$B$6:$B$10</c:f>
              <c:strCache>
                <c:ptCount val="5"/>
                <c:pt idx="0">
                  <c:v>Sem 1 (1–7 sep)</c:v>
                </c:pt>
                <c:pt idx="1">
                  <c:v>Sem 2 (8–14 sep)</c:v>
                </c:pt>
                <c:pt idx="2">
                  <c:v>Sem 3 (15–21 sep)</c:v>
                </c:pt>
                <c:pt idx="3">
                  <c:v>Sem 4 (22–28 sep)</c:v>
                </c:pt>
                <c:pt idx="4">
                  <c:v>Sem 5 (29–30 sep)</c:v>
                </c:pt>
              </c:strCache>
            </c:strRef>
          </c:cat>
          <c:val>
            <c:numRef>
              <c:f>'Solicitados vs Cerrados'!$F$6:$F$10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8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/>
            </a:pPr>
            <a:r>
              <a:rPr lang="en-US" sz="1300" baseline="0"/>
              <a:t>Rutas y Tiempos: solicitados vs cerrados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'Solicitados vs Cerrados'!$L$5</c:f>
              <c:strCache>
                <c:ptCount val="1"/>
                <c:pt idx="0">
                  <c:v>Solicitados</c:v>
                </c:pt>
              </c:strCache>
            </c:strRef>
          </c:tx>
          <c:spPr>
            <a:solidFill>
              <a:srgbClr val="EB6834"/>
            </a:solidFill>
          </c:spPr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'Solicitados vs Cerrados'!$I$6:$I$10</c:f>
              <c:strCache>
                <c:ptCount val="5"/>
                <c:pt idx="0">
                  <c:v>Sem 1 (1–7 sep)</c:v>
                </c:pt>
                <c:pt idx="1">
                  <c:v>Sem 2 (8–14 sep)</c:v>
                </c:pt>
                <c:pt idx="2">
                  <c:v>Sem 3 (15–21 sep)</c:v>
                </c:pt>
                <c:pt idx="3">
                  <c:v>Sem 4 (22–28 sep)</c:v>
                </c:pt>
                <c:pt idx="4">
                  <c:v>Sem 5 (29–30 sep)</c:v>
                </c:pt>
              </c:strCache>
            </c:strRef>
          </c:cat>
          <c:val>
            <c:numRef>
              <c:f>'Solicitados vs Cerrados'!$L$6:$L$10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'Solicitados vs Cerrados'!$M$5</c:f>
              <c:strCache>
                <c:ptCount val="1"/>
                <c:pt idx="0">
                  <c:v>Cerrados</c:v>
                </c:pt>
              </c:strCache>
            </c:strRef>
          </c:tx>
          <c:spPr>
            <a:solidFill>
              <a:srgbClr val="0CA30C"/>
            </a:solidFill>
          </c:spPr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'Solicitados vs Cerrados'!$I$6:$I$10</c:f>
              <c:strCache>
                <c:ptCount val="5"/>
                <c:pt idx="0">
                  <c:v>Sem 1 (1–7 sep)</c:v>
                </c:pt>
                <c:pt idx="1">
                  <c:v>Sem 2 (8–14 sep)</c:v>
                </c:pt>
                <c:pt idx="2">
                  <c:v>Sem 3 (15–21 sep)</c:v>
                </c:pt>
                <c:pt idx="3">
                  <c:v>Sem 4 (22–28 sep)</c:v>
                </c:pt>
                <c:pt idx="4">
                  <c:v>Sem 5 (29–30 sep)</c:v>
                </c:pt>
              </c:strCache>
            </c:strRef>
          </c:cat>
          <c:val>
            <c:numRef>
              <c:f>'Solicitados vs Cerrados'!$M$6:$M$10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</c:ser>
        <c:gapWidth val="8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/>
            </a:pPr>
            <a:r>
              <a:rPr lang="en-US" sz="1300" baseline="0"/>
              <a:t>Cerradas, carga actual, vencidas y suspendidas por colaborador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'Carga por Colaborador'!$E$4</c:f>
              <c:strCache>
                <c:ptCount val="1"/>
                <c:pt idx="0">
                  <c:v>Cerradas en el período</c:v>
                </c:pt>
              </c:strCache>
            </c:strRef>
          </c:tx>
          <c:spPr>
            <a:solidFill>
              <a:srgbClr val="0CA30C"/>
            </a:solidFill>
          </c:spPr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'Carga por Colaborador'!$B$5:$B$7</c:f>
              <c:strCache>
                <c:ptCount val="3"/>
                <c:pt idx="0">
                  <c:v>Carlos Martinez</c:v>
                </c:pt>
                <c:pt idx="1">
                  <c:v>Edwin Meza</c:v>
                </c:pt>
                <c:pt idx="2">
                  <c:v>Henry Candelario</c:v>
                </c:pt>
              </c:strCache>
            </c:strRef>
          </c:cat>
          <c:val>
            <c:numRef>
              <c:f>'Carga por Colaborador'!$E$5:$E$7</c:f>
              <c:numCache>
                <c:formatCode>General</c:formatCode>
                <c:ptCount val="3"/>
                <c:pt idx="0">
                  <c:v>22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'Carga por Colaborador'!$F$4</c:f>
              <c:strCache>
                <c:ptCount val="1"/>
                <c:pt idx="0">
                  <c:v>Vencidas</c:v>
                </c:pt>
              </c:strCache>
            </c:strRef>
          </c:tx>
          <c:spPr>
            <a:solidFill>
              <a:srgbClr val="2A78D6"/>
            </a:solidFill>
          </c:spPr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'Carga por Colaborador'!$B$5:$B$7</c:f>
              <c:strCache>
                <c:ptCount val="3"/>
                <c:pt idx="0">
                  <c:v>Carlos Martinez</c:v>
                </c:pt>
                <c:pt idx="1">
                  <c:v>Edwin Meza</c:v>
                </c:pt>
                <c:pt idx="2">
                  <c:v>Henry Candelario</c:v>
                </c:pt>
              </c:strCache>
            </c:strRef>
          </c:cat>
          <c:val>
            <c:numRef>
              <c:f>'Carga por Colaborador'!$F$5:$F$7</c:f>
              <c:numCache>
                <c:formatCode>General</c:formatCode>
                <c:ptCount val="3"/>
                <c:pt idx="0">
                  <c:v>7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</c:ser>
        <c:ser>
          <c:idx val="2"/>
          <c:order val="2"/>
          <c:tx>
            <c:strRef>
              <c:f>'Carga por Colaborador'!$G$4</c:f>
              <c:strCache>
                <c:ptCount val="1"/>
                <c:pt idx="0">
                  <c:v>Suspendidas</c:v>
                </c:pt>
              </c:strCache>
            </c:strRef>
          </c:tx>
          <c:spPr>
            <a:solidFill>
              <a:srgbClr val="D03B3B"/>
            </a:solidFill>
          </c:spPr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'Carga por Colaborador'!$B$5:$B$7</c:f>
              <c:strCache>
                <c:ptCount val="3"/>
                <c:pt idx="0">
                  <c:v>Carlos Martinez</c:v>
                </c:pt>
                <c:pt idx="1">
                  <c:v>Edwin Meza</c:v>
                </c:pt>
                <c:pt idx="2">
                  <c:v>Henry Candelario</c:v>
                </c:pt>
              </c:strCache>
            </c:strRef>
          </c:cat>
          <c:val>
            <c:numRef>
              <c:f>'Carga por Colaborador'!$G$5:$G$7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'Carga por Colaborador'!$H$4</c:f>
              <c:strCache>
                <c:ptCount val="1"/>
              </c:strCache>
            </c:strRef>
          </c:tx>
          <c:spPr>
            <a:solidFill>
              <a:srgbClr val="EC835A"/>
            </a:solidFill>
          </c:spPr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'Carga por Colaborador'!$B$5:$B$7</c:f>
              <c:strCache>
                <c:ptCount val="3"/>
                <c:pt idx="0">
                  <c:v>Carlos Martinez</c:v>
                </c:pt>
                <c:pt idx="1">
                  <c:v>Edwin Meza</c:v>
                </c:pt>
                <c:pt idx="2">
                  <c:v>Henry Candelario</c:v>
                </c:pt>
              </c:strCache>
            </c:strRef>
          </c:cat>
          <c:val>
            <c:numRef>
              <c:f>'Carga por Colaborador'!$H$5:$H$7</c:f>
              <c:numCache>
                <c:formatCode>General</c:formatCode>
                <c:ptCount val="3"/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in val="0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6</xdr:col>
      <xdr:colOff>1000125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790575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13</xdr:col>
      <xdr:colOff>790575</xdr:colOff>
      <xdr:row>30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352425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31"/>
  <sheetViews>
    <sheetView showGridLines="0" tabSelected="1" workbookViewId="0"/>
  </sheetViews>
  <sheetFormatPr defaultRowHeight="15"/>
  <cols>
    <col min="1" max="1" width="2.7109375" customWidth="1"/>
    <col min="2" max="2" width="22.7109375" customWidth="1"/>
    <col min="3" max="7" width="17.7109375" customWidth="1"/>
  </cols>
  <sheetData>
    <row r="1" spans="2:7">
      <c r="B1" s="1" t="s">
        <v>0</v>
      </c>
    </row>
    <row r="2" spans="2:7">
      <c r="B2" s="2" t="s">
        <v>1</v>
      </c>
    </row>
    <row r="4" spans="2:7" ht="44" customHeight="1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2:7">
      <c r="B5" s="4" t="s">
        <v>8</v>
      </c>
      <c r="C5" s="5">
        <f>COUNTIFS('Proyectos y Rutas'!$B$2:$B$40,"Proyecto")</f>
        <v>20</v>
      </c>
      <c r="D5" s="5">
        <f>COUNTIFS('Proyectos y Rutas'!$B$2:$B$40,"Proyecto",'Proyectos y Rutas'!$H$2:$H$40,"&lt;="&amp;DATE(2026,9,30))</f>
        <v>2</v>
      </c>
      <c r="E5" s="6">
        <f>IFERROR(ROUND(AVERAGEIFS('Proyectos y Rutas'!$I$2:$I$40,'Proyectos y Rutas'!$B$2:$B$40,"Proyecto",'Proyectos y Rutas'!$H$2:$H$40,"&lt;="&amp;DATE(2026,9,30)),1),0)</f>
        <v>2.0</v>
      </c>
      <c r="F5" s="5">
        <f>COUNTIFS('Proyectos y Rutas'!$B$2:$B$40,"Proyecto",'Proyectos y Rutas'!$J$2:$J$40,"&lt;&gt;Cerrado")</f>
        <v>17</v>
      </c>
      <c r="G5" s="5">
        <f>COUNTIFS('Proyectos y Rutas'!$B$2:$B$40,"Proyecto",'Proyectos y Rutas'!$J$2:$J$40,"Cerrado")</f>
        <v>3</v>
      </c>
    </row>
    <row r="6" spans="2:7">
      <c r="B6" s="4" t="s">
        <v>9</v>
      </c>
      <c r="C6" s="5">
        <f>COUNTIFS('Proyectos y Rutas'!$B$2:$B$40,"Ruta y tiempo")</f>
        <v>19</v>
      </c>
      <c r="D6" s="5">
        <f>COUNTIFS('Proyectos y Rutas'!$B$2:$B$40,"Ruta y tiempo",'Proyectos y Rutas'!$H$2:$H$40,"&lt;="&amp;DATE(2026,9,30))</f>
        <v>18</v>
      </c>
      <c r="E6" s="6">
        <f>IFERROR(ROUND(AVERAGEIFS('Proyectos y Rutas'!$I$2:$I$40,'Proyectos y Rutas'!$B$2:$B$40,"Ruta y tiempo",'Proyectos y Rutas'!$H$2:$H$40,"&lt;="&amp;DATE(2026,9,30)),1),0)</f>
        <v>1.8</v>
      </c>
      <c r="F6" s="5">
        <f>COUNTIFS('Proyectos y Rutas'!$B$2:$B$40,"Ruta y tiempo",'Proyectos y Rutas'!$J$2:$J$40,"&lt;&gt;Cerrado")</f>
        <v>1</v>
      </c>
      <c r="G6" s="5">
        <f>COUNTIFS('Proyectos y Rutas'!$B$2:$B$40,"Ruta y tiempo",'Proyectos y Rutas'!$J$2:$J$40,"Cerrado")</f>
        <v>18</v>
      </c>
    </row>
    <row r="7" spans="2:7">
      <c r="B7" s="7" t="s">
        <v>10</v>
      </c>
      <c r="C7" s="8">
        <f>SUM(C5:C6)</f>
        <v>39</v>
      </c>
      <c r="D7" s="8">
        <f>SUM(D5:D6)</f>
        <v>20</v>
      </c>
      <c r="E7" s="9">
        <f>IFERROR(ROUND(AVERAGEIFS('Proyectos y Rutas'!$I$2:$I$40,'Proyectos y Rutas'!$H$2:$H$40,"&lt;="&amp;DATE(2026,9,30)),1),0)</f>
        <v>1.8</v>
      </c>
      <c r="F7" s="8">
        <f>SUM(F5:F6)</f>
        <v>18</v>
      </c>
      <c r="G7" s="8">
        <f>SUM(G5:G6)</f>
        <v>21</v>
      </c>
    </row>
    <row r="9" spans="2:7">
      <c r="B9" s="10" t="s">
        <v>11</v>
      </c>
    </row>
    <row r="10" spans="2:7">
      <c r="B10" s="3" t="s">
        <v>2</v>
      </c>
      <c r="C10" s="3" t="s">
        <v>12</v>
      </c>
      <c r="D10" s="3" t="s">
        <v>13</v>
      </c>
      <c r="E10" s="3" t="s">
        <v>14</v>
      </c>
      <c r="F10" s="3" t="s">
        <v>15</v>
      </c>
    </row>
    <row r="11" spans="2:7">
      <c r="B11" s="4" t="s">
        <v>8</v>
      </c>
      <c r="C11" s="5">
        <f>COUNTIFS('Proyectos y Rutas'!$B$2:$B$40,"Proyecto",'Proyectos y Rutas'!$J$2:$J$40,C$10)</f>
        <v>3</v>
      </c>
      <c r="D11" s="5">
        <f>COUNTIFS('Proyectos y Rutas'!$B$2:$B$40,"Proyecto",'Proyectos y Rutas'!$J$2:$J$40,D$10)</f>
        <v>5</v>
      </c>
      <c r="E11" s="5">
        <f>COUNTIFS('Proyectos y Rutas'!$B$2:$B$40,"Proyecto",'Proyectos y Rutas'!$J$2:$J$40,E$10)</f>
        <v>3</v>
      </c>
      <c r="F11" s="5">
        <f>COUNTIFS('Proyectos y Rutas'!$B$2:$B$40,"Proyecto",'Proyectos y Rutas'!$J$2:$J$40,F$10)</f>
        <v>9</v>
      </c>
    </row>
    <row r="12" spans="2:7">
      <c r="B12" s="4" t="s">
        <v>9</v>
      </c>
      <c r="C12" s="5">
        <f>COUNTIFS('Proyectos y Rutas'!$B$2:$B$40,"Ruta y tiempo",'Proyectos y Rutas'!$J$2:$J$40,C$10)</f>
        <v>18</v>
      </c>
      <c r="D12" s="5">
        <f>COUNTIFS('Proyectos y Rutas'!$B$2:$B$40,"Ruta y tiempo",'Proyectos y Rutas'!$J$2:$J$40,D$10)</f>
        <v>0</v>
      </c>
      <c r="E12" s="5">
        <f>COUNTIFS('Proyectos y Rutas'!$B$2:$B$40,"Ruta y tiempo",'Proyectos y Rutas'!$J$2:$J$40,E$10)</f>
        <v>1</v>
      </c>
      <c r="F12" s="5">
        <f>COUNTIFS('Proyectos y Rutas'!$B$2:$B$40,"Ruta y tiempo",'Proyectos y Rutas'!$J$2:$J$40,F$10)</f>
        <v>0</v>
      </c>
    </row>
    <row r="31" spans="2:2">
      <c r="B31" s="11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N33"/>
  <sheetViews>
    <sheetView showGridLines="0" workbookViewId="0"/>
  </sheetViews>
  <sheetFormatPr defaultRowHeight="15"/>
  <cols>
    <col min="1" max="1" width="2.7109375" customWidth="1"/>
    <col min="2" max="2" width="22.7109375" customWidth="1"/>
    <col min="3" max="4" width="12.7109375" customWidth="1"/>
    <col min="5" max="7" width="15.7109375" customWidth="1"/>
    <col min="8" max="8" width="3.7109375" customWidth="1"/>
    <col min="9" max="9" width="22.7109375" customWidth="1"/>
    <col min="10" max="11" width="12.7109375" customWidth="1"/>
    <col min="12" max="14" width="15.7109375" customWidth="1"/>
  </cols>
  <sheetData>
    <row r="1" spans="2:14">
      <c r="B1" s="1" t="s">
        <v>17</v>
      </c>
    </row>
    <row r="2" spans="2:14">
      <c r="B2" s="2" t="s">
        <v>18</v>
      </c>
    </row>
    <row r="4" spans="2:14">
      <c r="B4" s="12" t="s">
        <v>19</v>
      </c>
      <c r="C4" s="12"/>
      <c r="D4" s="12"/>
      <c r="E4" s="12"/>
      <c r="F4" s="12"/>
      <c r="G4" s="12"/>
      <c r="I4" s="13" t="s">
        <v>32</v>
      </c>
      <c r="J4" s="13"/>
      <c r="K4" s="13"/>
      <c r="L4" s="13"/>
      <c r="M4" s="13"/>
      <c r="N4" s="13"/>
    </row>
    <row r="5" spans="2:14"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</row>
    <row r="6" spans="2:14">
      <c r="B6" s="4" t="s">
        <v>26</v>
      </c>
      <c r="C6" s="14">
        <v>46266</v>
      </c>
      <c r="D6" s="14">
        <v>46272</v>
      </c>
      <c r="E6" s="5">
        <f>COUNTIFS('Proyectos y Rutas'!$B$2:$B$40,"Proyecto",'Proyectos y Rutas'!$G$2:$G$40,"&gt;="&amp;C6,'Proyectos y Rutas'!$G$2:$G$40,"&lt;="&amp;D6)</f>
        <v>8</v>
      </c>
      <c r="F6" s="5">
        <f>COUNTIFS('Proyectos y Rutas'!$B$2:$B$40,"Proyecto",'Proyectos y Rutas'!$H$2:$H$40,"&gt;="&amp;C6,'Proyectos y Rutas'!$H$2:$H$40,"&lt;="&amp;D6)</f>
        <v>0</v>
      </c>
      <c r="G6" s="5">
        <f>E6-F6</f>
        <v>8</v>
      </c>
      <c r="I6" s="4" t="s">
        <v>26</v>
      </c>
      <c r="J6" s="14">
        <v>46266</v>
      </c>
      <c r="K6" s="14">
        <v>46272</v>
      </c>
      <c r="L6" s="5">
        <f>COUNTIFS('Proyectos y Rutas'!$B$2:$B$40,"Ruta y tiempo",'Proyectos y Rutas'!$G$2:$G$40,"&gt;="&amp;J6,'Proyectos y Rutas'!$G$2:$G$40,"&lt;="&amp;K6)</f>
        <v>8</v>
      </c>
      <c r="M6" s="5">
        <f>COUNTIFS('Proyectos y Rutas'!$B$2:$B$40,"Ruta y tiempo",'Proyectos y Rutas'!$H$2:$H$40,"&gt;="&amp;J6,'Proyectos y Rutas'!$H$2:$H$40,"&lt;="&amp;K6)</f>
        <v>7</v>
      </c>
      <c r="N6" s="5">
        <f>L6-M6</f>
        <v>1</v>
      </c>
    </row>
    <row r="7" spans="2:14">
      <c r="B7" s="4" t="s">
        <v>27</v>
      </c>
      <c r="C7" s="14">
        <v>46273</v>
      </c>
      <c r="D7" s="14">
        <v>46279</v>
      </c>
      <c r="E7" s="5">
        <f>COUNTIFS('Proyectos y Rutas'!$B$2:$B$40,"Proyecto",'Proyectos y Rutas'!$G$2:$G$40,"&gt;="&amp;C7,'Proyectos y Rutas'!$G$2:$G$40,"&lt;="&amp;D7)</f>
        <v>4</v>
      </c>
      <c r="F7" s="5">
        <f>COUNTIFS('Proyectos y Rutas'!$B$2:$B$40,"Proyecto",'Proyectos y Rutas'!$H$2:$H$40,"&gt;="&amp;C7,'Proyectos y Rutas'!$H$2:$H$40,"&lt;="&amp;D7)</f>
        <v>2</v>
      </c>
      <c r="G7" s="5">
        <f>G6+E7-F7</f>
        <v>10</v>
      </c>
      <c r="I7" s="4" t="s">
        <v>27</v>
      </c>
      <c r="J7" s="14">
        <v>46273</v>
      </c>
      <c r="K7" s="14">
        <v>46279</v>
      </c>
      <c r="L7" s="5">
        <f>COUNTIFS('Proyectos y Rutas'!$B$2:$B$40,"Ruta y tiempo",'Proyectos y Rutas'!$G$2:$G$40,"&gt;="&amp;J7,'Proyectos y Rutas'!$G$2:$G$40,"&lt;="&amp;K7)</f>
        <v>2</v>
      </c>
      <c r="M7" s="5">
        <f>COUNTIFS('Proyectos y Rutas'!$B$2:$B$40,"Ruta y tiempo",'Proyectos y Rutas'!$H$2:$H$40,"&gt;="&amp;J7,'Proyectos y Rutas'!$H$2:$H$40,"&lt;="&amp;K7)</f>
        <v>1</v>
      </c>
      <c r="N7" s="5">
        <f>N6+L7-M7</f>
        <v>2</v>
      </c>
    </row>
    <row r="8" spans="2:14">
      <c r="B8" s="4" t="s">
        <v>28</v>
      </c>
      <c r="C8" s="14">
        <v>46280</v>
      </c>
      <c r="D8" s="14">
        <v>46286</v>
      </c>
      <c r="E8" s="5">
        <f>COUNTIFS('Proyectos y Rutas'!$B$2:$B$40,"Proyecto",'Proyectos y Rutas'!$G$2:$G$40,"&gt;="&amp;C8,'Proyectos y Rutas'!$G$2:$G$40,"&lt;="&amp;D8)</f>
        <v>0</v>
      </c>
      <c r="F8" s="5">
        <f>COUNTIFS('Proyectos y Rutas'!$B$2:$B$40,"Proyecto",'Proyectos y Rutas'!$H$2:$H$40,"&gt;="&amp;C8,'Proyectos y Rutas'!$H$2:$H$40,"&lt;="&amp;D8)</f>
        <v>0</v>
      </c>
      <c r="G8" s="5">
        <f>G7+E8-F8</f>
        <v>10</v>
      </c>
      <c r="I8" s="4" t="s">
        <v>28</v>
      </c>
      <c r="J8" s="14">
        <v>46280</v>
      </c>
      <c r="K8" s="14">
        <v>46286</v>
      </c>
      <c r="L8" s="5">
        <f>COUNTIFS('Proyectos y Rutas'!$B$2:$B$40,"Ruta y tiempo",'Proyectos y Rutas'!$G$2:$G$40,"&gt;="&amp;J8,'Proyectos y Rutas'!$G$2:$G$40,"&lt;="&amp;K8)</f>
        <v>5</v>
      </c>
      <c r="M8" s="5">
        <f>COUNTIFS('Proyectos y Rutas'!$B$2:$B$40,"Ruta y tiempo",'Proyectos y Rutas'!$H$2:$H$40,"&gt;="&amp;J8,'Proyectos y Rutas'!$H$2:$H$40,"&lt;="&amp;K8)</f>
        <v>1</v>
      </c>
      <c r="N8" s="5">
        <f>N7+L8-M8</f>
        <v>6</v>
      </c>
    </row>
    <row r="9" spans="2:14">
      <c r="B9" s="4" t="s">
        <v>29</v>
      </c>
      <c r="C9" s="14">
        <v>46287</v>
      </c>
      <c r="D9" s="14">
        <v>46293</v>
      </c>
      <c r="E9" s="5">
        <f>COUNTIFS('Proyectos y Rutas'!$B$2:$B$40,"Proyecto",'Proyectos y Rutas'!$G$2:$G$40,"&gt;="&amp;C9,'Proyectos y Rutas'!$G$2:$G$40,"&lt;="&amp;D9)</f>
        <v>7</v>
      </c>
      <c r="F9" s="5">
        <f>COUNTIFS('Proyectos y Rutas'!$B$2:$B$40,"Proyecto",'Proyectos y Rutas'!$H$2:$H$40,"&gt;="&amp;C9,'Proyectos y Rutas'!$H$2:$H$40,"&lt;="&amp;D9)</f>
        <v>0</v>
      </c>
      <c r="G9" s="5">
        <f>G8+E9-F9</f>
        <v>17</v>
      </c>
      <c r="I9" s="4" t="s">
        <v>29</v>
      </c>
      <c r="J9" s="14">
        <v>46287</v>
      </c>
      <c r="K9" s="14">
        <v>46293</v>
      </c>
      <c r="L9" s="5">
        <f>COUNTIFS('Proyectos y Rutas'!$B$2:$B$40,"Ruta y tiempo",'Proyectos y Rutas'!$G$2:$G$40,"&gt;="&amp;J9,'Proyectos y Rutas'!$G$2:$G$40,"&lt;="&amp;K9)</f>
        <v>4</v>
      </c>
      <c r="M9" s="5">
        <f>COUNTIFS('Proyectos y Rutas'!$B$2:$B$40,"Ruta y tiempo",'Proyectos y Rutas'!$H$2:$H$40,"&gt;="&amp;J9,'Proyectos y Rutas'!$H$2:$H$40,"&lt;="&amp;K9)</f>
        <v>9</v>
      </c>
      <c r="N9" s="5">
        <f>N8+L9-M9</f>
        <v>1</v>
      </c>
    </row>
    <row r="10" spans="2:14">
      <c r="B10" s="4" t="s">
        <v>30</v>
      </c>
      <c r="C10" s="14">
        <v>46294</v>
      </c>
      <c r="D10" s="14">
        <v>46295</v>
      </c>
      <c r="E10" s="5">
        <f>COUNTIFS('Proyectos y Rutas'!$B$2:$B$40,"Proyecto",'Proyectos y Rutas'!$G$2:$G$40,"&gt;="&amp;C10,'Proyectos y Rutas'!$G$2:$G$40,"&lt;="&amp;D10)</f>
        <v>1</v>
      </c>
      <c r="F10" s="5">
        <f>COUNTIFS('Proyectos y Rutas'!$B$2:$B$40,"Proyecto",'Proyectos y Rutas'!$H$2:$H$40,"&gt;="&amp;C10,'Proyectos y Rutas'!$H$2:$H$40,"&lt;="&amp;D10)</f>
        <v>0</v>
      </c>
      <c r="G10" s="5">
        <f>G9+E10-F10</f>
        <v>18</v>
      </c>
      <c r="I10" s="4" t="s">
        <v>30</v>
      </c>
      <c r="J10" s="14">
        <v>46294</v>
      </c>
      <c r="K10" s="14">
        <v>46295</v>
      </c>
      <c r="L10" s="5">
        <f>COUNTIFS('Proyectos y Rutas'!$B$2:$B$40,"Ruta y tiempo",'Proyectos y Rutas'!$G$2:$G$40,"&gt;="&amp;J10,'Proyectos y Rutas'!$G$2:$G$40,"&lt;="&amp;K10)</f>
        <v>0</v>
      </c>
      <c r="M10" s="5">
        <f>COUNTIFS('Proyectos y Rutas'!$B$2:$B$40,"Ruta y tiempo",'Proyectos y Rutas'!$H$2:$H$40,"&gt;="&amp;J10,'Proyectos y Rutas'!$H$2:$H$40,"&lt;="&amp;K10)</f>
        <v>0</v>
      </c>
      <c r="N10" s="5">
        <f>N9+L10-M10</f>
        <v>1</v>
      </c>
    </row>
    <row r="11" spans="2:14">
      <c r="B11" s="7" t="s">
        <v>31</v>
      </c>
      <c r="C11" s="7"/>
      <c r="D11" s="7"/>
      <c r="E11" s="8">
        <f>SUM(E6:E10)</f>
        <v>20</v>
      </c>
      <c r="F11" s="8">
        <f>SUM(F6:F10)</f>
        <v>2</v>
      </c>
      <c r="G11" s="8">
        <f>E11-F11</f>
        <v>18</v>
      </c>
      <c r="I11" s="7" t="s">
        <v>31</v>
      </c>
      <c r="J11" s="7"/>
      <c r="K11" s="7"/>
      <c r="L11" s="8">
        <f>SUM(L6:L10)</f>
        <v>19</v>
      </c>
      <c r="M11" s="8">
        <f>SUM(M6:M10)</f>
        <v>18</v>
      </c>
      <c r="N11" s="8">
        <f>L11-M11</f>
        <v>1</v>
      </c>
    </row>
    <row r="33" spans="2:2">
      <c r="B33" s="11" t="s">
        <v>33</v>
      </c>
    </row>
  </sheetData>
  <mergeCells count="4">
    <mergeCell ref="B4:G4"/>
    <mergeCell ref="B11:D11"/>
    <mergeCell ref="I4:N4"/>
    <mergeCell ref="I11:K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G30"/>
  <sheetViews>
    <sheetView showGridLines="0" workbookViewId="0"/>
  </sheetViews>
  <sheetFormatPr defaultRowHeight="15"/>
  <cols>
    <col min="1" max="1" width="2.7109375" customWidth="1"/>
    <col min="2" max="2" width="24.7109375" customWidth="1"/>
    <col min="3" max="8" width="15.7109375" customWidth="1"/>
  </cols>
  <sheetData>
    <row r="1" spans="2:7">
      <c r="B1" s="1" t="s">
        <v>34</v>
      </c>
    </row>
    <row r="4" spans="2:7" ht="32" customHeight="1"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</row>
    <row r="5" spans="2:7">
      <c r="B5" s="4" t="s">
        <v>41</v>
      </c>
      <c r="C5" s="5">
        <v>39</v>
      </c>
      <c r="D5" s="5">
        <v>9</v>
      </c>
      <c r="E5" s="5">
        <v>22</v>
      </c>
      <c r="F5" s="5">
        <v>7</v>
      </c>
      <c r="G5" s="5">
        <v>6</v>
      </c>
    </row>
    <row r="6" spans="2:7">
      <c r="B6" s="4" t="s">
        <v>42</v>
      </c>
      <c r="C6" s="5">
        <v>18</v>
      </c>
      <c r="D6" s="5">
        <v>14</v>
      </c>
      <c r="E6" s="5">
        <v>3</v>
      </c>
      <c r="F6" s="5">
        <v>9</v>
      </c>
      <c r="G6" s="5">
        <v>0</v>
      </c>
    </row>
    <row r="7" spans="2:7">
      <c r="B7" s="4" t="s">
        <v>43</v>
      </c>
      <c r="C7" s="5">
        <v>12</v>
      </c>
      <c r="D7" s="5">
        <v>10</v>
      </c>
      <c r="E7" s="5">
        <v>2</v>
      </c>
      <c r="F7" s="5">
        <v>8</v>
      </c>
      <c r="G7" s="5">
        <v>0</v>
      </c>
    </row>
    <row r="8" spans="2:7">
      <c r="B8" s="7" t="s">
        <v>10</v>
      </c>
      <c r="C8" s="8">
        <f>SUM(C5:C7)</f>
        <v>69</v>
      </c>
      <c r="D8" s="8">
        <f>SUM(D5:D7)</f>
        <v>33</v>
      </c>
      <c r="E8" s="8">
        <f>SUM(E5:E7)</f>
        <v>27</v>
      </c>
      <c r="F8" s="8">
        <f>SUM(F5:F7)</f>
        <v>24</v>
      </c>
      <c r="G8" s="8">
        <f>SUM(G5:G7)</f>
        <v>6</v>
      </c>
    </row>
    <row r="30" spans="2:2">
      <c r="B30" s="11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5.7109375" customWidth="1"/>
    <col min="2" max="2" width="15.7109375" customWidth="1"/>
    <col min="3" max="3" width="24.7109375" customWidth="1"/>
    <col min="4" max="4" width="36.7109375" customWidth="1"/>
    <col min="5" max="6" width="18.7109375" customWidth="1"/>
    <col min="7" max="8" width="15.7109375" customWidth="1"/>
    <col min="9" max="10" width="13.7109375" customWidth="1"/>
    <col min="11" max="11" width="11.7109375" customWidth="1"/>
  </cols>
  <sheetData>
    <row r="1" spans="1:11">
      <c r="A1" s="3" t="s">
        <v>45</v>
      </c>
      <c r="B1" s="3" t="s">
        <v>2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</row>
    <row r="2" spans="1:11">
      <c r="A2" t="s">
        <v>55</v>
      </c>
      <c r="B2" t="s">
        <v>56</v>
      </c>
      <c r="D2" t="s">
        <v>57</v>
      </c>
      <c r="E2" t="s">
        <v>58</v>
      </c>
      <c r="F2" t="s">
        <v>41</v>
      </c>
      <c r="G2" s="14">
        <v>46295</v>
      </c>
      <c r="J2" t="s">
        <v>13</v>
      </c>
      <c r="K2" t="s">
        <v>59</v>
      </c>
    </row>
    <row r="3" spans="1:11">
      <c r="A3" t="s">
        <v>60</v>
      </c>
      <c r="B3" t="s">
        <v>56</v>
      </c>
      <c r="E3" t="s">
        <v>58</v>
      </c>
      <c r="F3" t="s">
        <v>41</v>
      </c>
      <c r="G3" s="14">
        <v>46293</v>
      </c>
      <c r="H3" s="14">
        <v>46296</v>
      </c>
      <c r="I3" s="5">
        <v>3</v>
      </c>
      <c r="J3" t="s">
        <v>12</v>
      </c>
      <c r="K3" t="s">
        <v>59</v>
      </c>
    </row>
    <row r="4" spans="1:11">
      <c r="A4" t="s">
        <v>61</v>
      </c>
      <c r="B4" t="s">
        <v>56</v>
      </c>
      <c r="D4" t="s">
        <v>57</v>
      </c>
      <c r="E4" t="s">
        <v>58</v>
      </c>
      <c r="F4" t="s">
        <v>42</v>
      </c>
      <c r="G4" s="14">
        <v>46290</v>
      </c>
      <c r="J4" t="s">
        <v>13</v>
      </c>
      <c r="K4" t="s">
        <v>59</v>
      </c>
    </row>
    <row r="5" spans="1:11">
      <c r="A5" t="s">
        <v>62</v>
      </c>
      <c r="B5" t="s">
        <v>56</v>
      </c>
      <c r="D5" t="s">
        <v>57</v>
      </c>
      <c r="E5" t="s">
        <v>41</v>
      </c>
      <c r="F5" t="s">
        <v>41</v>
      </c>
      <c r="G5" s="14">
        <v>46288</v>
      </c>
      <c r="J5" t="s">
        <v>15</v>
      </c>
      <c r="K5" t="s">
        <v>59</v>
      </c>
    </row>
    <row r="6" spans="1:11">
      <c r="A6" t="s">
        <v>63</v>
      </c>
      <c r="B6" t="s">
        <v>56</v>
      </c>
      <c r="D6" t="s">
        <v>57</v>
      </c>
      <c r="E6" t="s">
        <v>42</v>
      </c>
      <c r="F6" t="s">
        <v>41</v>
      </c>
      <c r="G6" s="14">
        <v>46288</v>
      </c>
      <c r="J6" t="s">
        <v>15</v>
      </c>
      <c r="K6" t="s">
        <v>59</v>
      </c>
    </row>
    <row r="7" spans="1:11">
      <c r="A7" t="s">
        <v>64</v>
      </c>
      <c r="B7" t="s">
        <v>56</v>
      </c>
      <c r="D7" t="s">
        <v>57</v>
      </c>
      <c r="E7" t="s">
        <v>58</v>
      </c>
      <c r="F7" t="s">
        <v>41</v>
      </c>
      <c r="G7" s="14">
        <v>46288</v>
      </c>
      <c r="J7" t="s">
        <v>15</v>
      </c>
      <c r="K7" t="s">
        <v>59</v>
      </c>
    </row>
    <row r="8" spans="1:11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42</v>
      </c>
      <c r="G8" s="14">
        <v>46288</v>
      </c>
      <c r="H8" s="14">
        <v>46288</v>
      </c>
      <c r="I8" s="5">
        <v>0</v>
      </c>
      <c r="J8" t="s">
        <v>12</v>
      </c>
      <c r="K8" t="s">
        <v>59</v>
      </c>
    </row>
    <row r="9" spans="1:11">
      <c r="A9" t="s">
        <v>70</v>
      </c>
      <c r="B9" t="s">
        <v>66</v>
      </c>
      <c r="C9" t="s">
        <v>71</v>
      </c>
      <c r="D9" t="s">
        <v>57</v>
      </c>
      <c r="E9" t="s">
        <v>72</v>
      </c>
      <c r="F9" t="s">
        <v>42</v>
      </c>
      <c r="G9" s="14">
        <v>46288</v>
      </c>
      <c r="H9" s="14">
        <v>46288</v>
      </c>
      <c r="I9" s="5">
        <v>0</v>
      </c>
      <c r="J9" t="s">
        <v>12</v>
      </c>
      <c r="K9" t="s">
        <v>59</v>
      </c>
    </row>
    <row r="10" spans="1:11">
      <c r="A10" t="s">
        <v>73</v>
      </c>
      <c r="B10" t="s">
        <v>56</v>
      </c>
      <c r="D10" t="s">
        <v>57</v>
      </c>
      <c r="E10" t="s">
        <v>74</v>
      </c>
      <c r="F10" t="s">
        <v>42</v>
      </c>
      <c r="G10" s="14">
        <v>46288</v>
      </c>
      <c r="J10" t="s">
        <v>13</v>
      </c>
      <c r="K10" t="s">
        <v>59</v>
      </c>
    </row>
    <row r="11" spans="1:11">
      <c r="A11" t="s">
        <v>75</v>
      </c>
      <c r="B11" t="s">
        <v>66</v>
      </c>
      <c r="C11" t="s">
        <v>76</v>
      </c>
      <c r="D11" t="s">
        <v>77</v>
      </c>
      <c r="E11" t="s">
        <v>72</v>
      </c>
      <c r="F11" t="s">
        <v>42</v>
      </c>
      <c r="G11" s="14">
        <v>46287</v>
      </c>
      <c r="H11" s="14">
        <v>46287</v>
      </c>
      <c r="I11" s="5">
        <v>0</v>
      </c>
      <c r="J11" t="s">
        <v>12</v>
      </c>
      <c r="K11" t="s">
        <v>59</v>
      </c>
    </row>
    <row r="12" spans="1:11">
      <c r="A12" t="s">
        <v>75</v>
      </c>
      <c r="B12" t="s">
        <v>66</v>
      </c>
      <c r="C12" t="s">
        <v>78</v>
      </c>
      <c r="D12" t="s">
        <v>77</v>
      </c>
      <c r="E12" t="s">
        <v>72</v>
      </c>
      <c r="F12" t="s">
        <v>42</v>
      </c>
      <c r="G12" s="14">
        <v>46287</v>
      </c>
      <c r="H12" s="14">
        <v>46287</v>
      </c>
      <c r="I12" s="5">
        <v>0</v>
      </c>
      <c r="J12" t="s">
        <v>12</v>
      </c>
      <c r="K12" t="s">
        <v>59</v>
      </c>
    </row>
    <row r="13" spans="1:11">
      <c r="A13" t="s">
        <v>79</v>
      </c>
      <c r="B13" t="s">
        <v>56</v>
      </c>
      <c r="C13" t="s">
        <v>80</v>
      </c>
      <c r="D13" t="s">
        <v>81</v>
      </c>
      <c r="E13" t="s">
        <v>82</v>
      </c>
      <c r="F13" t="s">
        <v>42</v>
      </c>
      <c r="G13" s="14">
        <v>46287</v>
      </c>
      <c r="J13" t="s">
        <v>15</v>
      </c>
      <c r="K13" t="s">
        <v>59</v>
      </c>
    </row>
    <row r="14" spans="1:11">
      <c r="A14" t="s">
        <v>83</v>
      </c>
      <c r="B14" t="s">
        <v>66</v>
      </c>
      <c r="C14" t="s">
        <v>84</v>
      </c>
      <c r="E14" t="s">
        <v>82</v>
      </c>
      <c r="F14" t="s">
        <v>42</v>
      </c>
      <c r="G14" s="14">
        <v>46286</v>
      </c>
      <c r="H14" s="14">
        <v>46287</v>
      </c>
      <c r="I14" s="5">
        <v>1</v>
      </c>
      <c r="J14" t="s">
        <v>12</v>
      </c>
      <c r="K14" t="s">
        <v>59</v>
      </c>
    </row>
    <row r="15" spans="1:11">
      <c r="A15" t="s">
        <v>85</v>
      </c>
      <c r="B15" t="s">
        <v>66</v>
      </c>
      <c r="C15" t="s">
        <v>86</v>
      </c>
      <c r="D15" t="s">
        <v>87</v>
      </c>
      <c r="E15" t="s">
        <v>88</v>
      </c>
      <c r="F15" t="s">
        <v>42</v>
      </c>
      <c r="G15" s="14">
        <v>46286</v>
      </c>
      <c r="H15" s="14">
        <v>46291</v>
      </c>
      <c r="I15" s="5">
        <v>5</v>
      </c>
      <c r="J15" t="s">
        <v>12</v>
      </c>
      <c r="K15" t="s">
        <v>59</v>
      </c>
    </row>
    <row r="16" spans="1:11">
      <c r="A16" t="s">
        <v>89</v>
      </c>
      <c r="B16" t="s">
        <v>66</v>
      </c>
      <c r="C16" t="s">
        <v>90</v>
      </c>
      <c r="D16" t="s">
        <v>91</v>
      </c>
      <c r="E16" t="s">
        <v>69</v>
      </c>
      <c r="F16" t="s">
        <v>42</v>
      </c>
      <c r="G16" s="14">
        <v>46286</v>
      </c>
      <c r="H16" s="14">
        <v>46287</v>
      </c>
      <c r="I16" s="5">
        <v>1</v>
      </c>
      <c r="J16" t="s">
        <v>12</v>
      </c>
      <c r="K16" t="s">
        <v>59</v>
      </c>
    </row>
    <row r="17" spans="1:11">
      <c r="A17" t="s">
        <v>92</v>
      </c>
      <c r="B17" t="s">
        <v>66</v>
      </c>
      <c r="C17" t="s">
        <v>93</v>
      </c>
      <c r="D17" t="s">
        <v>94</v>
      </c>
      <c r="E17" t="s">
        <v>88</v>
      </c>
      <c r="F17" t="s">
        <v>42</v>
      </c>
      <c r="G17" s="14">
        <v>46286</v>
      </c>
      <c r="H17" s="14">
        <v>46288</v>
      </c>
      <c r="I17" s="5">
        <v>2</v>
      </c>
      <c r="J17" t="s">
        <v>12</v>
      </c>
      <c r="K17" t="s">
        <v>59</v>
      </c>
    </row>
    <row r="18" spans="1:11">
      <c r="A18" t="s">
        <v>95</v>
      </c>
      <c r="B18" t="s">
        <v>66</v>
      </c>
      <c r="C18" t="s">
        <v>96</v>
      </c>
      <c r="D18" t="s">
        <v>97</v>
      </c>
      <c r="E18" t="s">
        <v>88</v>
      </c>
      <c r="F18" t="s">
        <v>42</v>
      </c>
      <c r="G18" s="14">
        <v>46286</v>
      </c>
      <c r="H18" s="14">
        <v>46286</v>
      </c>
      <c r="I18" s="5">
        <v>0</v>
      </c>
      <c r="J18" t="s">
        <v>12</v>
      </c>
      <c r="K18" t="s">
        <v>59</v>
      </c>
    </row>
    <row r="19" spans="1:11">
      <c r="A19" t="s">
        <v>98</v>
      </c>
      <c r="B19" t="s">
        <v>66</v>
      </c>
      <c r="C19" t="s">
        <v>99</v>
      </c>
      <c r="D19" t="s">
        <v>100</v>
      </c>
      <c r="E19" t="s">
        <v>69</v>
      </c>
      <c r="F19" t="s">
        <v>42</v>
      </c>
      <c r="G19" s="14">
        <v>46276</v>
      </c>
      <c r="H19" s="14">
        <v>46287</v>
      </c>
      <c r="I19" s="5">
        <v>11</v>
      </c>
      <c r="J19" t="s">
        <v>12</v>
      </c>
      <c r="K19" t="s">
        <v>59</v>
      </c>
    </row>
    <row r="20" spans="1:11">
      <c r="A20" t="s">
        <v>101</v>
      </c>
      <c r="B20" t="s">
        <v>56</v>
      </c>
      <c r="C20" t="s">
        <v>102</v>
      </c>
      <c r="D20" t="s">
        <v>103</v>
      </c>
      <c r="E20" t="s">
        <v>104</v>
      </c>
      <c r="F20" t="s">
        <v>41</v>
      </c>
      <c r="G20" s="14">
        <v>46276</v>
      </c>
      <c r="J20" t="s">
        <v>14</v>
      </c>
      <c r="K20" t="s">
        <v>105</v>
      </c>
    </row>
    <row r="21" spans="1:11">
      <c r="A21" t="s">
        <v>106</v>
      </c>
      <c r="B21" t="s">
        <v>66</v>
      </c>
      <c r="C21" t="s">
        <v>107</v>
      </c>
      <c r="D21" t="s">
        <v>108</v>
      </c>
      <c r="E21" t="s">
        <v>72</v>
      </c>
      <c r="F21" t="s">
        <v>42</v>
      </c>
      <c r="G21" s="14">
        <v>46276</v>
      </c>
      <c r="H21" s="14">
        <v>46276</v>
      </c>
      <c r="I21" s="5">
        <v>0</v>
      </c>
      <c r="J21" t="s">
        <v>12</v>
      </c>
      <c r="K21" t="s">
        <v>59</v>
      </c>
    </row>
    <row r="22" spans="1:11">
      <c r="A22" t="s">
        <v>109</v>
      </c>
      <c r="B22" t="s">
        <v>56</v>
      </c>
      <c r="D22" t="s">
        <v>57</v>
      </c>
      <c r="E22" t="s">
        <v>110</v>
      </c>
      <c r="F22" t="s">
        <v>41</v>
      </c>
      <c r="G22" s="14">
        <v>46275</v>
      </c>
      <c r="J22" t="s">
        <v>15</v>
      </c>
      <c r="K22" t="s">
        <v>59</v>
      </c>
    </row>
    <row r="23" spans="1:11">
      <c r="A23" t="s">
        <v>111</v>
      </c>
      <c r="B23" t="s">
        <v>56</v>
      </c>
      <c r="D23" t="s">
        <v>57</v>
      </c>
      <c r="E23" t="s">
        <v>58</v>
      </c>
      <c r="F23" t="s">
        <v>41</v>
      </c>
      <c r="G23" s="14">
        <v>46274</v>
      </c>
      <c r="H23" s="14">
        <v>46275</v>
      </c>
      <c r="I23" s="5">
        <v>1</v>
      </c>
      <c r="J23" t="s">
        <v>12</v>
      </c>
      <c r="K23" t="s">
        <v>59</v>
      </c>
    </row>
    <row r="24" spans="1:11">
      <c r="A24" t="s">
        <v>112</v>
      </c>
      <c r="B24" t="s">
        <v>56</v>
      </c>
      <c r="D24" t="s">
        <v>57</v>
      </c>
      <c r="E24" t="s">
        <v>42</v>
      </c>
      <c r="F24" t="s">
        <v>43</v>
      </c>
      <c r="G24" s="14">
        <v>46274</v>
      </c>
      <c r="J24" t="s">
        <v>15</v>
      </c>
      <c r="K24" t="s">
        <v>59</v>
      </c>
    </row>
    <row r="25" spans="1:11">
      <c r="A25" t="s">
        <v>113</v>
      </c>
      <c r="B25" t="s">
        <v>56</v>
      </c>
      <c r="C25" t="s">
        <v>114</v>
      </c>
      <c r="D25" t="s">
        <v>57</v>
      </c>
      <c r="E25" t="s">
        <v>115</v>
      </c>
      <c r="F25" t="s">
        <v>41</v>
      </c>
      <c r="G25" s="14">
        <v>46272</v>
      </c>
      <c r="H25" s="14">
        <v>46275</v>
      </c>
      <c r="I25" s="5">
        <v>3</v>
      </c>
      <c r="J25" t="s">
        <v>12</v>
      </c>
      <c r="K25" t="s">
        <v>105</v>
      </c>
    </row>
    <row r="26" spans="1:11">
      <c r="A26" t="s">
        <v>116</v>
      </c>
      <c r="B26" t="s">
        <v>66</v>
      </c>
      <c r="C26" t="s">
        <v>117</v>
      </c>
      <c r="D26" t="s">
        <v>103</v>
      </c>
      <c r="E26" t="s">
        <v>69</v>
      </c>
      <c r="F26" t="s">
        <v>42</v>
      </c>
      <c r="G26" s="14">
        <v>46272</v>
      </c>
      <c r="H26" s="14">
        <v>46272</v>
      </c>
      <c r="I26" s="5">
        <v>0</v>
      </c>
      <c r="J26" t="s">
        <v>12</v>
      </c>
      <c r="K26" t="s">
        <v>59</v>
      </c>
    </row>
    <row r="27" spans="1:11">
      <c r="A27" t="s">
        <v>118</v>
      </c>
      <c r="B27" t="s">
        <v>66</v>
      </c>
      <c r="C27" t="s">
        <v>119</v>
      </c>
      <c r="D27" t="s">
        <v>91</v>
      </c>
      <c r="E27" t="s">
        <v>120</v>
      </c>
      <c r="F27" t="s">
        <v>42</v>
      </c>
      <c r="G27" s="14">
        <v>46269</v>
      </c>
      <c r="H27" s="14">
        <v>46272</v>
      </c>
      <c r="I27" s="5">
        <v>3</v>
      </c>
      <c r="J27" t="s">
        <v>12</v>
      </c>
      <c r="K27" t="s">
        <v>59</v>
      </c>
    </row>
    <row r="28" spans="1:11">
      <c r="A28" t="s">
        <v>121</v>
      </c>
      <c r="B28" t="s">
        <v>66</v>
      </c>
      <c r="C28" t="s">
        <v>122</v>
      </c>
      <c r="D28" t="s">
        <v>57</v>
      </c>
      <c r="E28" t="s">
        <v>88</v>
      </c>
      <c r="F28" t="s">
        <v>42</v>
      </c>
      <c r="G28" s="14">
        <v>46269</v>
      </c>
      <c r="H28" s="14">
        <v>46272</v>
      </c>
      <c r="I28" s="5">
        <v>3</v>
      </c>
      <c r="J28" t="s">
        <v>12</v>
      </c>
      <c r="K28" t="s">
        <v>59</v>
      </c>
    </row>
    <row r="29" spans="1:11">
      <c r="A29" t="s">
        <v>123</v>
      </c>
      <c r="B29" t="s">
        <v>56</v>
      </c>
      <c r="D29" t="s">
        <v>57</v>
      </c>
      <c r="E29" t="s">
        <v>58</v>
      </c>
      <c r="F29" t="s">
        <v>42</v>
      </c>
      <c r="G29" s="14">
        <v>46269</v>
      </c>
      <c r="J29" t="s">
        <v>13</v>
      </c>
      <c r="K29" t="s">
        <v>59</v>
      </c>
    </row>
    <row r="30" spans="1:11">
      <c r="A30" t="s">
        <v>124</v>
      </c>
      <c r="B30" t="s">
        <v>56</v>
      </c>
      <c r="D30" t="s">
        <v>57</v>
      </c>
      <c r="E30" t="s">
        <v>58</v>
      </c>
      <c r="F30" t="s">
        <v>42</v>
      </c>
      <c r="G30" s="14">
        <v>46268</v>
      </c>
      <c r="J30" t="s">
        <v>13</v>
      </c>
      <c r="K30" t="s">
        <v>59</v>
      </c>
    </row>
    <row r="31" spans="1:11">
      <c r="A31" t="s">
        <v>125</v>
      </c>
      <c r="B31" t="s">
        <v>56</v>
      </c>
      <c r="D31" t="s">
        <v>57</v>
      </c>
      <c r="E31" t="s">
        <v>42</v>
      </c>
      <c r="F31" t="s">
        <v>43</v>
      </c>
      <c r="G31" s="14">
        <v>46268</v>
      </c>
      <c r="J31" t="s">
        <v>14</v>
      </c>
      <c r="K31" t="s">
        <v>59</v>
      </c>
    </row>
    <row r="32" spans="1:11">
      <c r="A32" t="s">
        <v>126</v>
      </c>
      <c r="B32" t="s">
        <v>56</v>
      </c>
      <c r="D32" t="s">
        <v>57</v>
      </c>
      <c r="E32" t="s">
        <v>58</v>
      </c>
      <c r="F32" t="s">
        <v>41</v>
      </c>
      <c r="G32" s="14">
        <v>46268</v>
      </c>
      <c r="J32" t="s">
        <v>15</v>
      </c>
      <c r="K32" t="s">
        <v>59</v>
      </c>
    </row>
    <row r="33" spans="1:11">
      <c r="A33" t="s">
        <v>127</v>
      </c>
      <c r="B33" t="s">
        <v>56</v>
      </c>
      <c r="D33" t="s">
        <v>57</v>
      </c>
      <c r="E33" t="s">
        <v>42</v>
      </c>
      <c r="F33" t="s">
        <v>43</v>
      </c>
      <c r="G33" s="14">
        <v>46268</v>
      </c>
      <c r="J33" t="s">
        <v>15</v>
      </c>
      <c r="K33" t="s">
        <v>59</v>
      </c>
    </row>
    <row r="34" spans="1:11">
      <c r="A34" t="s">
        <v>128</v>
      </c>
      <c r="B34" t="s">
        <v>66</v>
      </c>
      <c r="C34" t="s">
        <v>129</v>
      </c>
      <c r="D34" t="s">
        <v>130</v>
      </c>
      <c r="E34" t="s">
        <v>131</v>
      </c>
      <c r="F34" t="s">
        <v>42</v>
      </c>
      <c r="G34" s="14">
        <v>46268</v>
      </c>
      <c r="H34" s="14">
        <v>46272</v>
      </c>
      <c r="I34" s="5">
        <v>4</v>
      </c>
      <c r="J34" t="s">
        <v>12</v>
      </c>
      <c r="K34" t="s">
        <v>105</v>
      </c>
    </row>
    <row r="35" spans="1:11">
      <c r="A35" t="s">
        <v>132</v>
      </c>
      <c r="B35" t="s">
        <v>66</v>
      </c>
      <c r="C35" t="s">
        <v>133</v>
      </c>
      <c r="D35" t="s">
        <v>134</v>
      </c>
      <c r="E35" t="s">
        <v>131</v>
      </c>
      <c r="F35" t="s">
        <v>42</v>
      </c>
      <c r="G35" s="14">
        <v>46268</v>
      </c>
      <c r="H35" s="14">
        <v>46268</v>
      </c>
      <c r="I35" s="5">
        <v>0</v>
      </c>
      <c r="J35" t="s">
        <v>12</v>
      </c>
      <c r="K35" t="s">
        <v>105</v>
      </c>
    </row>
    <row r="36" spans="1:11">
      <c r="A36" t="s">
        <v>135</v>
      </c>
      <c r="B36" t="s">
        <v>56</v>
      </c>
      <c r="D36" t="s">
        <v>57</v>
      </c>
      <c r="E36" t="s">
        <v>58</v>
      </c>
      <c r="F36" t="s">
        <v>41</v>
      </c>
      <c r="G36" s="14">
        <v>46268</v>
      </c>
      <c r="J36" t="s">
        <v>15</v>
      </c>
      <c r="K36" t="s">
        <v>59</v>
      </c>
    </row>
    <row r="37" spans="1:11">
      <c r="A37" t="s">
        <v>136</v>
      </c>
      <c r="B37" t="s">
        <v>66</v>
      </c>
      <c r="C37" t="s">
        <v>137</v>
      </c>
      <c r="D37" t="s">
        <v>100</v>
      </c>
      <c r="E37" t="s">
        <v>69</v>
      </c>
      <c r="F37" t="s">
        <v>42</v>
      </c>
      <c r="G37" s="14">
        <v>46267</v>
      </c>
      <c r="H37" s="14">
        <v>46268</v>
      </c>
      <c r="I37" s="5">
        <v>1</v>
      </c>
      <c r="J37" t="s">
        <v>12</v>
      </c>
      <c r="K37" t="s">
        <v>59</v>
      </c>
    </row>
    <row r="38" spans="1:11">
      <c r="A38" t="s">
        <v>138</v>
      </c>
      <c r="B38" t="s">
        <v>56</v>
      </c>
      <c r="D38" t="s">
        <v>57</v>
      </c>
      <c r="E38" t="s">
        <v>58</v>
      </c>
      <c r="F38" t="s">
        <v>41</v>
      </c>
      <c r="G38" s="14">
        <v>46267</v>
      </c>
      <c r="J38" t="s">
        <v>14</v>
      </c>
      <c r="K38" t="s">
        <v>59</v>
      </c>
    </row>
    <row r="39" spans="1:11">
      <c r="A39" t="s">
        <v>139</v>
      </c>
      <c r="B39" t="s">
        <v>66</v>
      </c>
      <c r="C39" t="s">
        <v>129</v>
      </c>
      <c r="D39" t="s">
        <v>140</v>
      </c>
      <c r="E39" t="s">
        <v>104</v>
      </c>
      <c r="F39" t="s">
        <v>42</v>
      </c>
      <c r="G39" s="14">
        <v>46267</v>
      </c>
      <c r="H39" s="14">
        <v>46268</v>
      </c>
      <c r="I39" s="5">
        <v>1</v>
      </c>
      <c r="J39" t="s">
        <v>12</v>
      </c>
      <c r="K39" t="s">
        <v>59</v>
      </c>
    </row>
    <row r="40" spans="1:11">
      <c r="A40" t="s">
        <v>141</v>
      </c>
      <c r="B40" t="s">
        <v>66</v>
      </c>
      <c r="C40" t="s">
        <v>142</v>
      </c>
      <c r="D40" t="s">
        <v>143</v>
      </c>
      <c r="E40" t="s">
        <v>69</v>
      </c>
      <c r="F40" t="s">
        <v>42</v>
      </c>
      <c r="G40" s="14">
        <v>46267</v>
      </c>
      <c r="J40" t="s">
        <v>14</v>
      </c>
      <c r="K40" t="s">
        <v>59</v>
      </c>
    </row>
  </sheetData>
  <autoFilter ref="A1:K40"/>
  <conditionalFormatting sqref="J2:J40">
    <cfRule type="cellIs" dxfId="0" priority="1" operator="equal">
      <formula>"Vencido"</formula>
    </cfRule>
    <cfRule type="cellIs" dxfId="1" priority="2" operator="equal">
      <formula>"Suspendido"</formula>
    </cfRule>
    <cfRule type="cellIs" dxfId="2" priority="3" operator="equal">
      <formula>"Cerrado"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Solicitados vs Cerrados</vt:lpstr>
      <vt:lpstr>Carga por Colaborador</vt:lpstr>
      <vt:lpstr>Proyectos y Rutas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2026-10-05T13:00:47Z</dcterms:created>
  <dcterms:modified xsi:type="dcterms:W3CDTF">2026-10-05T13:00:47Z</dcterms:modified>
</cp:coreProperties>
</file>