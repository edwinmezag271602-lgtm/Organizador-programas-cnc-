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os" sheetId="2" state="visible" r:id="rId2"/>
    <sheet name="Carg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0.0"/>
    <numFmt numFmtId="167" formatCode="DD/MM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F2937"/>
      <sz val="20"/>
    </font>
    <font>
      <color rgb="006B7280"/>
    </font>
    <font>
      <color rgb="006B7280"/>
      <sz val="10"/>
    </font>
    <font>
      <b val="1"/>
      <color rgb="002A78D6"/>
      <sz val="26"/>
    </font>
    <font>
      <b val="1"/>
      <color rgb="000CA30C"/>
      <sz val="26"/>
    </font>
    <font>
      <b val="1"/>
      <color rgb="00EB6834"/>
      <sz val="26"/>
    </font>
    <font>
      <b val="1"/>
      <color rgb="00D03B3B"/>
      <sz val="26"/>
    </font>
    <font>
      <b val="1"/>
      <color rgb="00C98500"/>
      <sz val="26"/>
    </font>
    <font>
      <color rgb="006B7280"/>
      <sz val="9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0" fillId="3" borderId="0" applyAlignment="1" pivotButton="0" quotePrefix="0" xfId="0">
      <alignment horizontal="left" vertical="center" indent="1"/>
    </xf>
    <xf numFmtId="1" fontId="6" fillId="3" borderId="0" applyAlignment="1" pivotButton="0" quotePrefix="0" xfId="0">
      <alignment horizontal="left" vertical="center" indent="1"/>
    </xf>
    <xf numFmtId="1" fontId="7" fillId="3" borderId="0" applyAlignment="1" pivotButton="0" quotePrefix="0" xfId="0">
      <alignment horizontal="left" vertical="center" indent="1"/>
    </xf>
    <xf numFmtId="9" fontId="7" fillId="3" borderId="0" applyAlignment="1" pivotButton="0" quotePrefix="0" xfId="0">
      <alignment horizontal="left" vertical="center" indent="1"/>
    </xf>
    <xf numFmtId="166" fontId="6" fillId="3" borderId="0" applyAlignment="1" pivotButton="0" quotePrefix="0" xfId="0">
      <alignment horizontal="left" vertical="center" indent="1"/>
    </xf>
    <xf numFmtId="1" fontId="8" fillId="3" borderId="0" applyAlignment="1" pivotButton="0" quotePrefix="0" xfId="0">
      <alignment horizontal="left" vertical="center" indent="1"/>
    </xf>
    <xf numFmtId="1" fontId="9" fillId="3" borderId="0" applyAlignment="1" pivotButton="0" quotePrefix="0" xfId="0">
      <alignment horizontal="left" vertical="center" indent="1"/>
    </xf>
    <xf numFmtId="1" fontId="10" fillId="3" borderId="0" applyAlignment="1" pivotButton="0" quotePrefix="0" xfId="0">
      <alignment horizontal="left" vertical="center" indent="1"/>
    </xf>
    <xf numFmtId="0" fontId="11" fillId="3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0" pivotButton="0" quotePrefix="0" xfId="0"/>
    <xf numFmtId="167" fontId="0" fillId="0" borderId="1" applyAlignment="1" pivotButton="0" quotePrefix="0" xfId="0">
      <alignment horizontal="center"/>
    </xf>
    <xf numFmtId="0" fontId="11" fillId="0" borderId="0" pivotButton="0" quotePrefix="0" xfId="0"/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FECACA"/>
        </patternFill>
      </fill>
    </dxf>
    <dxf>
      <fill>
        <patternFill patternType="solid">
          <bgColor rgb="00FDE68A"/>
        </patternFill>
      </fill>
    </dxf>
    <dxf>
      <fill>
        <patternFill patternType="solid">
          <bgColor rgb="00BBF7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Estado por categoría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>
              <a:srgbClr val="0CA30C"/>
            </a:solidFill>
            <a:ln>
              <a:solidFill>
                <a:srgbClr val="0CA30C"/>
              </a:solidFill>
              <a:prstDash val="solid"/>
            </a:ln>
          </spPr>
          <cat>
            <numRef>
              <f>'Dashboard'!$B$10:$B$11</f>
            </numRef>
          </cat>
          <val>
            <numRef>
              <f>'Dashboard'!$C$10:$C$11</f>
            </numRef>
          </val>
        </ser>
        <ser>
          <idx val="1"/>
          <order val="1"/>
          <tx>
            <strRef>
              <f>'Dashboard'!D9</f>
            </strRef>
          </tx>
          <spPr>
            <a:solidFill>
              <a:srgbClr val="A9A79F"/>
            </a:solidFill>
            <a:ln>
              <a:solidFill>
                <a:srgbClr val="A9A79F"/>
              </a:solidFill>
              <a:prstDash val="solid"/>
            </a:ln>
          </spPr>
          <cat>
            <numRef>
              <f>'Dashboard'!$B$10:$B$11</f>
            </numRef>
          </cat>
          <val>
            <numRef>
              <f>'Dashboard'!$D$10:$D$11</f>
            </numRef>
          </val>
        </ser>
        <ser>
          <idx val="2"/>
          <order val="2"/>
          <tx>
            <strRef>
              <f>'Dashboard'!E9</f>
            </strRef>
          </tx>
          <spPr>
            <a:solidFill>
              <a:srgbClr val="EC835A"/>
            </a:solidFill>
            <a:ln>
              <a:solidFill>
                <a:srgbClr val="EC835A"/>
              </a:solidFill>
              <a:prstDash val="solid"/>
            </a:ln>
          </spPr>
          <cat>
            <numRef>
              <f>'Dashboard'!$B$10:$B$11</f>
            </numRef>
          </cat>
          <val>
            <numRef>
              <f>'Dashboard'!$E$10:$E$11</f>
            </numRef>
          </val>
        </ser>
        <ser>
          <idx val="3"/>
          <order val="3"/>
          <tx>
            <strRef>
              <f>'Dashboard'!F9</f>
            </strRef>
          </tx>
          <spPr>
            <a:solidFill>
              <a:srgbClr val="D03B3B"/>
            </a:solidFill>
            <a:ln>
              <a:solidFill>
                <a:srgbClr val="D03B3B"/>
              </a:solidFill>
              <a:prstDash val="solid"/>
            </a:ln>
          </spPr>
          <cat>
            <numRef>
              <f>'Dashboard'!$B$10:$B$11</f>
            </numRef>
          </cat>
          <val>
            <numRef>
              <f>'Dashboard'!$F$10:$F$11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Solicitudes por responsable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'Dashboard'!C15</f>
            </strRef>
          </tx>
          <spPr>
            <a:solidFill>
              <a:srgbClr val="0CA30C"/>
            </a:solidFill>
            <a:ln>
              <a:solidFill>
                <a:srgbClr val="0CA30C"/>
              </a:solidFill>
              <a:prstDash val="solid"/>
            </a:ln>
          </spPr>
          <cat>
            <numRef>
              <f>'Dashboard'!$B$16:$B$18</f>
            </numRef>
          </cat>
          <val>
            <numRef>
              <f>'Dashboard'!$C$16:$C$18</f>
            </numRef>
          </val>
        </ser>
        <ser>
          <idx val="1"/>
          <order val="1"/>
          <tx>
            <strRef>
              <f>'Dashboard'!D15</f>
            </strRef>
          </tx>
          <spPr>
            <a:solidFill>
              <a:srgbClr val="A9A79F"/>
            </a:solidFill>
            <a:ln>
              <a:solidFill>
                <a:srgbClr val="A9A79F"/>
              </a:solidFill>
              <a:prstDash val="solid"/>
            </a:ln>
          </spPr>
          <cat>
            <numRef>
              <f>'Dashboard'!$B$16:$B$18</f>
            </numRef>
          </cat>
          <val>
            <numRef>
              <f>'Dashboard'!$D$16:$D$18</f>
            </numRef>
          </val>
        </ser>
        <ser>
          <idx val="2"/>
          <order val="2"/>
          <tx>
            <strRef>
              <f>'Dashboard'!E15</f>
            </strRef>
          </tx>
          <spPr>
            <a:solidFill>
              <a:srgbClr val="EC835A"/>
            </a:solidFill>
            <a:ln>
              <a:solidFill>
                <a:srgbClr val="EC835A"/>
              </a:solidFill>
              <a:prstDash val="solid"/>
            </a:ln>
          </spPr>
          <cat>
            <numRef>
              <f>'Dashboard'!$B$16:$B$18</f>
            </numRef>
          </cat>
          <val>
            <numRef>
              <f>'Dashboard'!$E$16:$E$18</f>
            </numRef>
          </val>
        </ser>
        <ser>
          <idx val="3"/>
          <order val="3"/>
          <tx>
            <strRef>
              <f>'Dashboard'!F15</f>
            </strRef>
          </tx>
          <spPr>
            <a:solidFill>
              <a:srgbClr val="D03B3B"/>
            </a:solidFill>
            <a:ln>
              <a:solidFill>
                <a:srgbClr val="D03B3B"/>
              </a:solidFill>
              <a:prstDash val="solid"/>
            </a:ln>
          </spPr>
          <cat>
            <numRef>
              <f>'Dashboard'!$B$16:$B$18</f>
            </numRef>
          </cat>
          <val>
            <numRef>
              <f>'Dashboard'!$F$16:$F$18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Solicitudes por día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'Dashboard'!C22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'Dashboard'!$B$23:$B$52</f>
            </numRef>
          </cat>
          <val>
            <numRef>
              <f>'Dashboard'!$C$23:$C$52</f>
            </numRef>
          </val>
        </ser>
        <ser>
          <idx val="1"/>
          <order val="1"/>
          <tx>
            <strRef>
              <f>'Dashboard'!D22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'Dashboard'!$B$23:$B$52</f>
            </numRef>
          </cat>
          <val>
            <numRef>
              <f>'Dashboard'!$D$23:$D$52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colaborador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'Dashboard'!J15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'Dashboard'!$I$16:$I$18</f>
            </numRef>
          </cat>
          <val>
            <numRef>
              <f>'Dashboard'!$J$16:$J$18</f>
            </numRef>
          </val>
        </ser>
        <ser>
          <idx val="1"/>
          <order val="1"/>
          <tx>
            <strRef>
              <f>'Dashboard'!K15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'Dashboard'!$I$16:$I$18</f>
            </numRef>
          </cat>
          <val>
            <numRef>
              <f>'Dashboard'!$K$16:$K$18</f>
            </numRef>
          </val>
        </ser>
        <ser>
          <idx val="2"/>
          <order val="2"/>
          <tx>
            <strRef>
              <f>'Dashboard'!L15</f>
            </strRef>
          </tx>
          <spPr>
            <a:solidFill>
              <a:srgbClr val="D03B3B"/>
            </a:solidFill>
            <a:ln>
              <a:solidFill>
                <a:srgbClr val="D03B3B"/>
              </a:solidFill>
              <a:prstDash val="solid"/>
            </a:ln>
          </spPr>
          <cat>
            <numRef>
              <f>'Dashboard'!$I$16:$I$18</f>
            </numRef>
          </cat>
          <val>
            <numRef>
              <f>'Dashboard'!$L$16:$L$18</f>
            </numRef>
          </val>
        </ser>
        <ser>
          <idx val="3"/>
          <order val="3"/>
          <tx>
            <strRef>
              <f>'Dashboard'!M15</f>
            </strRef>
          </tx>
          <spPr>
            <a:solidFill>
              <a:srgbClr val="C98500"/>
            </a:solidFill>
            <a:ln>
              <a:solidFill>
                <a:srgbClr val="C98500"/>
              </a:solidFill>
              <a:prstDash val="solid"/>
            </a:ln>
          </spPr>
          <cat>
            <numRef>
              <f>'Dashboard'!$I$16:$I$18</f>
            </numRef>
          </cat>
          <val>
            <numRef>
              <f>'Dashboard'!$M$16:$M$18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clientes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'Dashboard'!L22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'Dashboard'!$I$23:$I$32</f>
            </numRef>
          </cat>
          <val>
            <numRef>
              <f>'Dashboard'!$L$23:$L$32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22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54</row>
      <rowOff>0</rowOff>
    </from>
    <ext cx="68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71</row>
      <rowOff>0</rowOff>
    </from>
    <ext cx="504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licitudes" displayName="Solicitudes" ref="A1:K40" headerRowCount="1">
  <autoFilter ref="A1:K40"/>
  <tableColumns count="11">
    <tableColumn id="1" name="Nombre"/>
    <tableColumn id="2" name="Categoría"/>
    <tableColumn id="3" name="RS / OP"/>
    <tableColumn id="4" name="Cliente"/>
    <tableColumn id="5" name="Solicitado por"/>
    <tableColumn id="6" name="Responsable"/>
    <tableColumn id="7" name="Fecha solicitud"/>
    <tableColumn id="8" name="Fecha cierre"/>
    <tableColumn id="9" name="Días en cerrar"/>
    <tableColumn id="10" name="Estado"/>
    <tableColumn id="11" name="Priorida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9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B1" s="1" t="inlineStr">
        <is>
          <t>Reporte de Gestión — Septiembre 2026</t>
        </is>
      </c>
    </row>
    <row r="2">
      <c r="B2" s="2" t="inlineStr">
        <is>
          <t>Proyectos y Rutas y Tiempos · solicitudes del 01 al 30 de septiembre de 2026</t>
        </is>
      </c>
    </row>
    <row r="4">
      <c r="B4" s="3" t="inlineStr">
        <is>
          <t>Solicitados</t>
        </is>
      </c>
      <c r="C4" s="4" t="n"/>
      <c r="D4" s="3" t="inlineStr">
        <is>
          <t>Cerrados en el período</t>
        </is>
      </c>
      <c r="E4" s="4" t="n"/>
      <c r="F4" s="3" t="inlineStr">
        <is>
          <t>% cerrado</t>
        </is>
      </c>
      <c r="G4" s="4" t="n"/>
      <c r="H4" s="3" t="inlineStr">
        <is>
          <t>Prom. días en cerrar</t>
        </is>
      </c>
      <c r="I4" s="4" t="n"/>
      <c r="J4" s="3" t="inlineStr">
        <is>
          <t>Abiertos actuales</t>
        </is>
      </c>
      <c r="K4" s="4" t="n"/>
      <c r="L4" s="3" t="inlineStr">
        <is>
          <t>Vencidos</t>
        </is>
      </c>
      <c r="M4" s="4" t="n"/>
      <c r="N4" s="3" t="inlineStr">
        <is>
          <t>Suspendidos</t>
        </is>
      </c>
      <c r="O4" s="4" t="n"/>
    </row>
    <row r="5" ht="40" customHeight="1">
      <c r="B5" s="5">
        <f>COUNTA(Datos!$B$2:$B$40)</f>
        <v/>
      </c>
      <c r="C5" s="4" t="n"/>
      <c r="D5" s="6">
        <f>COUNTIFS(Datos!$H$2:$H$40,"&lt;="&amp;DATE(2026,9,30))</f>
        <v/>
      </c>
      <c r="E5" s="4" t="n"/>
      <c r="F5" s="7">
        <f>D5/B5</f>
        <v/>
      </c>
      <c r="G5" s="4" t="n"/>
      <c r="H5" s="8">
        <f>AVERAGEIFS(Datos!$I$2:$I$40,Datos!$H$2:$H$40,"&lt;="&amp;DATE(2026,9,30))</f>
        <v/>
      </c>
      <c r="I5" s="4" t="n"/>
      <c r="J5" s="9">
        <f>COUNTIFS(Datos!$J$2:$J$40,"&lt;&gt;Cerrado")</f>
        <v/>
      </c>
      <c r="K5" s="4" t="n"/>
      <c r="L5" s="10">
        <f>COUNTIFS(Datos!$J$2:$J$40,"Vencido")</f>
        <v/>
      </c>
      <c r="M5" s="4" t="n"/>
      <c r="N5" s="11">
        <f>COUNTIFS(Datos!$J$2:$J$40,"Suspendido")</f>
        <v/>
      </c>
      <c r="O5" s="4" t="n"/>
    </row>
    <row r="6">
      <c r="B6" s="12">
        <f>COUNTIFS(Datos!$B$2:$B$40,"Proyecto")&amp;" proyectos · "&amp;COUNTIFS(Datos!$B$2:$B$40,"Ruta y tiempo")&amp;" rutas"</f>
        <v/>
      </c>
      <c r="C6" s="4" t="n"/>
      <c r="D6" s="4" t="inlineStr"/>
      <c r="E6" s="4" t="n"/>
      <c r="F6" s="4" t="inlineStr"/>
      <c r="G6" s="4" t="n"/>
      <c r="H6" s="4" t="inlineStr"/>
      <c r="I6" s="4" t="n"/>
      <c r="J6" s="4" t="inlineStr"/>
      <c r="K6" s="4" t="n"/>
      <c r="L6" s="4" t="inlineStr"/>
      <c r="M6" s="4" t="n"/>
      <c r="N6" s="4" t="inlineStr"/>
      <c r="O6" s="4" t="n"/>
    </row>
    <row r="8">
      <c r="B8" s="13" t="inlineStr">
        <is>
          <t>Estado por categoría</t>
        </is>
      </c>
      <c r="I8" s="13" t="inlineStr">
        <is>
          <t>Resumen por categoría</t>
        </is>
      </c>
    </row>
    <row r="9" ht="30" customHeight="1">
      <c r="B9" s="14" t="inlineStr">
        <is>
          <t>Categoría</t>
        </is>
      </c>
      <c r="C9" s="14" t="inlineStr">
        <is>
          <t>Cerrado</t>
        </is>
      </c>
      <c r="D9" s="14" t="inlineStr">
        <is>
          <t>A tiempo</t>
        </is>
      </c>
      <c r="E9" s="14" t="inlineStr">
        <is>
          <t>Suspendido</t>
        </is>
      </c>
      <c r="F9" s="14" t="inlineStr">
        <is>
          <t>Vencido</t>
        </is>
      </c>
      <c r="G9" s="14" t="inlineStr">
        <is>
          <t>Total</t>
        </is>
      </c>
      <c r="I9" s="15" t="inlineStr">
        <is>
          <t>Categoría</t>
        </is>
      </c>
      <c r="J9" s="15" t="inlineStr">
        <is>
          <t>Solicitados</t>
        </is>
      </c>
      <c r="K9" s="15" t="inlineStr">
        <is>
          <t>Cerrados período</t>
        </is>
      </c>
      <c r="L9" s="15" t="inlineStr">
        <is>
          <t>Prom. días</t>
        </is>
      </c>
      <c r="M9" s="15" t="inlineStr">
        <is>
          <t>Abiertos</t>
        </is>
      </c>
    </row>
    <row r="10">
      <c r="B10" s="16" t="inlineStr">
        <is>
          <t>Proyecto</t>
        </is>
      </c>
      <c r="C10" s="17">
        <f>COUNTIFS(Datos!$B$2:$B$40,$B10,Datos!$J$2:$J$40,C$9)</f>
        <v/>
      </c>
      <c r="D10" s="17">
        <f>COUNTIFS(Datos!$B$2:$B$40,$B10,Datos!$J$2:$J$40,D$9)</f>
        <v/>
      </c>
      <c r="E10" s="17">
        <f>COUNTIFS(Datos!$B$2:$B$40,$B10,Datos!$J$2:$J$40,E$9)</f>
        <v/>
      </c>
      <c r="F10" s="17">
        <f>COUNTIFS(Datos!$B$2:$B$40,$B10,Datos!$J$2:$J$40,F$9)</f>
        <v/>
      </c>
      <c r="G10" s="17">
        <f>SUM(C10:F10)</f>
        <v/>
      </c>
      <c r="I10" s="16" t="inlineStr">
        <is>
          <t>Proyecto</t>
        </is>
      </c>
      <c r="J10" s="17">
        <f>COUNTIFS(Datos!$B$2:$B$40,$I10)</f>
        <v/>
      </c>
      <c r="K10" s="17">
        <f>COUNTIFS(Datos!$B$2:$B$40,$I10,Datos!$H$2:$H$40,"&lt;="&amp;DATE(2026,9,30))</f>
        <v/>
      </c>
      <c r="L10" s="18">
        <f>IFERROR(AVERAGEIFS(Datos!$I$2:$I$40,Datos!$B$2:$B$40,$I10,Datos!$H$2:$H$40,"&lt;="&amp;DATE(2026,9,30)),0)</f>
        <v/>
      </c>
      <c r="M10" s="17">
        <f>COUNTIFS(Datos!$B$2:$B$40,$I10,Datos!$J$2:$J$40,"&lt;&gt;Cerrado")</f>
        <v/>
      </c>
    </row>
    <row r="11">
      <c r="B11" s="16" t="inlineStr">
        <is>
          <t>Ruta y tiempo</t>
        </is>
      </c>
      <c r="C11" s="17">
        <f>COUNTIFS(Datos!$B$2:$B$40,$B11,Datos!$J$2:$J$40,C$9)</f>
        <v/>
      </c>
      <c r="D11" s="17">
        <f>COUNTIFS(Datos!$B$2:$B$40,$B11,Datos!$J$2:$J$40,D$9)</f>
        <v/>
      </c>
      <c r="E11" s="17">
        <f>COUNTIFS(Datos!$B$2:$B$40,$B11,Datos!$J$2:$J$40,E$9)</f>
        <v/>
      </c>
      <c r="F11" s="17">
        <f>COUNTIFS(Datos!$B$2:$B$40,$B11,Datos!$J$2:$J$40,F$9)</f>
        <v/>
      </c>
      <c r="G11" s="17">
        <f>SUM(C11:F11)</f>
        <v/>
      </c>
      <c r="I11" s="16" t="inlineStr">
        <is>
          <t>Ruta y tiempo</t>
        </is>
      </c>
      <c r="J11" s="17">
        <f>COUNTIFS(Datos!$B$2:$B$40,$I11)</f>
        <v/>
      </c>
      <c r="K11" s="17">
        <f>COUNTIFS(Datos!$B$2:$B$40,$I11,Datos!$H$2:$H$40,"&lt;="&amp;DATE(2026,9,30))</f>
        <v/>
      </c>
      <c r="L11" s="18">
        <f>IFERROR(AVERAGEIFS(Datos!$I$2:$I$40,Datos!$B$2:$B$40,$I11,Datos!$H$2:$H$40,"&lt;="&amp;DATE(2026,9,30)),0)</f>
        <v/>
      </c>
      <c r="M11" s="17">
        <f>COUNTIFS(Datos!$B$2:$B$40,$I11,Datos!$J$2:$J$40,"&lt;&gt;Cerrado")</f>
        <v/>
      </c>
    </row>
    <row r="12">
      <c r="B12" s="19" t="inlineStr">
        <is>
          <t>Total</t>
        </is>
      </c>
      <c r="C12" s="20">
        <f>SUM(C10:C11)</f>
        <v/>
      </c>
      <c r="D12" s="20">
        <f>SUM(D10:D11)</f>
        <v/>
      </c>
      <c r="E12" s="20">
        <f>SUM(E10:E11)</f>
        <v/>
      </c>
      <c r="F12" s="20">
        <f>SUM(F10:F11)</f>
        <v/>
      </c>
      <c r="G12" s="20">
        <f>SUM(G10:G11)</f>
        <v/>
      </c>
    </row>
    <row r="13"/>
    <row r="14">
      <c r="B14" s="13" t="inlineStr">
        <is>
          <t>Solicitudes por responsable</t>
        </is>
      </c>
      <c r="I14" s="13" t="inlineStr">
        <is>
          <t>Carga por colaborador</t>
        </is>
      </c>
    </row>
    <row r="15">
      <c r="B15" s="14" t="inlineStr">
        <is>
          <t>Responsable</t>
        </is>
      </c>
      <c r="C15" s="14" t="inlineStr">
        <is>
          <t>Cerrado</t>
        </is>
      </c>
      <c r="D15" s="14" t="inlineStr">
        <is>
          <t>A tiempo</t>
        </is>
      </c>
      <c r="E15" s="14" t="inlineStr">
        <is>
          <t>Suspendido</t>
        </is>
      </c>
      <c r="F15" s="14" t="inlineStr">
        <is>
          <t>Vencido</t>
        </is>
      </c>
      <c r="G15" s="14" t="inlineStr">
        <is>
          <t>Total</t>
        </is>
      </c>
      <c r="I15" s="14" t="inlineStr">
        <is>
          <t>Colaborador</t>
        </is>
      </c>
      <c r="J15" s="14" t="inlineStr">
        <is>
          <t>Cerradas</t>
        </is>
      </c>
      <c r="K15" s="14" t="inlineStr">
        <is>
          <t>Actual</t>
        </is>
      </c>
      <c r="L15" s="14" t="inlineStr">
        <is>
          <t>Vencidas</t>
        </is>
      </c>
      <c r="M15" s="14" t="inlineStr">
        <is>
          <t>Suspendidas</t>
        </is>
      </c>
    </row>
    <row r="16">
      <c r="B16" s="16" t="inlineStr">
        <is>
          <t>Edwin Meza</t>
        </is>
      </c>
      <c r="C16" s="17">
        <f>COUNTIFS(Datos!$F$2:$F$40,$B16,Datos!$J$2:$J$40,C$15)</f>
        <v/>
      </c>
      <c r="D16" s="17">
        <f>COUNTIFS(Datos!$F$2:$F$40,$B16,Datos!$J$2:$J$40,D$15)</f>
        <v/>
      </c>
      <c r="E16" s="17">
        <f>COUNTIFS(Datos!$F$2:$F$40,$B16,Datos!$J$2:$J$40,E$15)</f>
        <v/>
      </c>
      <c r="F16" s="17">
        <f>COUNTIFS(Datos!$F$2:$F$40,$B16,Datos!$J$2:$J$40,F$15)</f>
        <v/>
      </c>
      <c r="G16" s="17">
        <f>SUM(C16:F16)</f>
        <v/>
      </c>
      <c r="I16" s="16">
        <f>Carga!A2</f>
        <v/>
      </c>
      <c r="J16" s="17">
        <f>Carga!D2</f>
        <v/>
      </c>
      <c r="K16" s="17">
        <f>Carga!C2</f>
        <v/>
      </c>
      <c r="L16" s="17">
        <f>Carga!E2</f>
        <v/>
      </c>
      <c r="M16" s="17">
        <f>Carga!F2</f>
        <v/>
      </c>
    </row>
    <row r="17">
      <c r="B17" s="16" t="inlineStr">
        <is>
          <t>Carlos Martinez</t>
        </is>
      </c>
      <c r="C17" s="17">
        <f>COUNTIFS(Datos!$F$2:$F$40,$B17,Datos!$J$2:$J$40,C$15)</f>
        <v/>
      </c>
      <c r="D17" s="17">
        <f>COUNTIFS(Datos!$F$2:$F$40,$B17,Datos!$J$2:$J$40,D$15)</f>
        <v/>
      </c>
      <c r="E17" s="17">
        <f>COUNTIFS(Datos!$F$2:$F$40,$B17,Datos!$J$2:$J$40,E$15)</f>
        <v/>
      </c>
      <c r="F17" s="17">
        <f>COUNTIFS(Datos!$F$2:$F$40,$B17,Datos!$J$2:$J$40,F$15)</f>
        <v/>
      </c>
      <c r="G17" s="17">
        <f>SUM(C17:F17)</f>
        <v/>
      </c>
      <c r="I17" s="16">
        <f>Carga!A3</f>
        <v/>
      </c>
      <c r="J17" s="17">
        <f>Carga!D3</f>
        <v/>
      </c>
      <c r="K17" s="17">
        <f>Carga!C3</f>
        <v/>
      </c>
      <c r="L17" s="17">
        <f>Carga!E3</f>
        <v/>
      </c>
      <c r="M17" s="17">
        <f>Carga!F3</f>
        <v/>
      </c>
    </row>
    <row r="18">
      <c r="B18" s="16" t="inlineStr">
        <is>
          <t>Henry Candelario</t>
        </is>
      </c>
      <c r="C18" s="17">
        <f>COUNTIFS(Datos!$F$2:$F$40,$B18,Datos!$J$2:$J$40,C$15)</f>
        <v/>
      </c>
      <c r="D18" s="17">
        <f>COUNTIFS(Datos!$F$2:$F$40,$B18,Datos!$J$2:$J$40,D$15)</f>
        <v/>
      </c>
      <c r="E18" s="17">
        <f>COUNTIFS(Datos!$F$2:$F$40,$B18,Datos!$J$2:$J$40,E$15)</f>
        <v/>
      </c>
      <c r="F18" s="17">
        <f>COUNTIFS(Datos!$F$2:$F$40,$B18,Datos!$J$2:$J$40,F$15)</f>
        <v/>
      </c>
      <c r="G18" s="17">
        <f>SUM(C18:F18)</f>
        <v/>
      </c>
      <c r="I18" s="16">
        <f>Carga!A4</f>
        <v/>
      </c>
      <c r="J18" s="17">
        <f>Carga!D4</f>
        <v/>
      </c>
      <c r="K18" s="17">
        <f>Carga!C4</f>
        <v/>
      </c>
      <c r="L18" s="17">
        <f>Carga!E4</f>
        <v/>
      </c>
      <c r="M18" s="17">
        <f>Carga!F4</f>
        <v/>
      </c>
    </row>
    <row r="19"/>
    <row r="20"/>
    <row r="21">
      <c r="B21" s="13" t="inlineStr">
        <is>
          <t>Solicitudes por día</t>
        </is>
      </c>
      <c r="I21" s="13" t="inlineStr">
        <is>
          <t>Top clientes</t>
        </is>
      </c>
    </row>
    <row r="22">
      <c r="B22" s="14" t="inlineStr">
        <is>
          <t>Día</t>
        </is>
      </c>
      <c r="C22" s="14" t="inlineStr">
        <is>
          <t>Proyectos</t>
        </is>
      </c>
      <c r="D22" s="14" t="inlineStr">
        <is>
          <t>Rutas y Tiempos</t>
        </is>
      </c>
      <c r="I22" s="21" t="inlineStr">
        <is>
          <t>Cliente</t>
        </is>
      </c>
      <c r="J22" s="21" t="inlineStr"/>
      <c r="K22" s="21" t="inlineStr"/>
      <c r="L22" s="21" t="inlineStr">
        <is>
          <t>Solicitudes</t>
        </is>
      </c>
    </row>
    <row r="23">
      <c r="B23" s="22" t="n">
        <v>46266</v>
      </c>
      <c r="C23" s="17">
        <f>COUNTIFS(Datos!$G$2:$G$40,$B23,Datos!$B$2:$B$40,"Proyecto")</f>
        <v/>
      </c>
      <c r="D23" s="17">
        <f>COUNTIFS(Datos!$G$2:$G$40,$B23,Datos!$B$2:$B$40,"Ruta y tiempo")</f>
        <v/>
      </c>
      <c r="I23" s="16" t="inlineStr">
        <is>
          <t>Relianz</t>
        </is>
      </c>
      <c r="L23" s="17">
        <f>COUNTIFS(Datos!$D$2:$D$40,$I23)</f>
        <v/>
      </c>
    </row>
    <row r="24">
      <c r="B24" s="22" t="n">
        <v>46267</v>
      </c>
      <c r="C24" s="17">
        <f>COUNTIFS(Datos!$G$2:$G$40,$B24,Datos!$B$2:$B$40,"Proyecto")</f>
        <v/>
      </c>
      <c r="D24" s="17">
        <f>COUNTIFS(Datos!$G$2:$G$40,$B24,Datos!$B$2:$B$40,"Ruta y tiempo")</f>
        <v/>
      </c>
      <c r="I24" s="16" t="inlineStr">
        <is>
          <t>Sin cliente</t>
        </is>
      </c>
      <c r="L24" s="17">
        <f>COUNTBLANK(Datos!$D$2:$D$40)</f>
        <v/>
      </c>
    </row>
    <row r="25">
      <c r="B25" s="22" t="n">
        <v>46268</v>
      </c>
      <c r="C25" s="17">
        <f>COUNTIFS(Datos!$G$2:$G$40,$B25,Datos!$B$2:$B$40,"Proyecto")</f>
        <v/>
      </c>
      <c r="D25" s="17">
        <f>COUNTIFS(Datos!$G$2:$G$40,$B25,Datos!$B$2:$B$40,"Ruta y tiempo")</f>
        <v/>
      </c>
      <c r="I25" s="16" t="inlineStr">
        <is>
          <t>CARBONES DEL CERREJON</t>
        </is>
      </c>
      <c r="L25" s="17">
        <f>COUNTIFS(Datos!$D$2:$D$40,$I25)</f>
        <v/>
      </c>
    </row>
    <row r="26">
      <c r="B26" s="22" t="n">
        <v>46269</v>
      </c>
      <c r="C26" s="17">
        <f>COUNTIFS(Datos!$G$2:$G$40,$B26,Datos!$B$2:$B$40,"Proyecto")</f>
        <v/>
      </c>
      <c r="D26" s="17">
        <f>COUNTIFS(Datos!$G$2:$G$40,$B26,Datos!$B$2:$B$40,"Ruta y tiempo")</f>
        <v/>
      </c>
      <c r="I26" s="16" t="inlineStr">
        <is>
          <t>Cerrjon</t>
        </is>
      </c>
      <c r="L26" s="17">
        <f>COUNTIFS(Datos!$D$2:$D$40,$I26)</f>
        <v/>
      </c>
    </row>
    <row r="27">
      <c r="B27" s="22" t="n">
        <v>46270</v>
      </c>
      <c r="C27" s="17">
        <f>COUNTIFS(Datos!$G$2:$G$40,$B27,Datos!$B$2:$B$40,"Proyecto")</f>
        <v/>
      </c>
      <c r="D27" s="17">
        <f>COUNTIFS(Datos!$G$2:$G$40,$B27,Datos!$B$2:$B$40,"Ruta y tiempo")</f>
        <v/>
      </c>
      <c r="I27" s="16" t="inlineStr">
        <is>
          <t>ASSEMBLY SDI</t>
        </is>
      </c>
      <c r="L27" s="17">
        <f>COUNTIFS(Datos!$D$2:$D$40,$I27)</f>
        <v/>
      </c>
    </row>
    <row r="28">
      <c r="B28" s="22" t="n">
        <v>46271</v>
      </c>
      <c r="C28" s="17">
        <f>COUNTIFS(Datos!$G$2:$G$40,$B28,Datos!$B$2:$B$40,"Proyecto")</f>
        <v/>
      </c>
      <c r="D28" s="17">
        <f>COUNTIFS(Datos!$G$2:$G$40,$B28,Datos!$B$2:$B$40,"Ruta y tiempo")</f>
        <v/>
      </c>
      <c r="I28" s="16" t="inlineStr">
        <is>
          <t>Petroworks S.A.S</t>
        </is>
      </c>
      <c r="L28" s="17">
        <f>COUNTIFS(Datos!$D$2:$D$40,$I28)</f>
        <v/>
      </c>
    </row>
    <row r="29">
      <c r="B29" s="22" t="n">
        <v>46272</v>
      </c>
      <c r="C29" s="17">
        <f>COUNTIFS(Datos!$G$2:$G$40,$B29,Datos!$B$2:$B$40,"Proyecto")</f>
        <v/>
      </c>
      <c r="D29" s="17">
        <f>COUNTIFS(Datos!$G$2:$G$40,$B29,Datos!$B$2:$B$40,"Ruta y tiempo")</f>
        <v/>
      </c>
      <c r="I29" s="16" t="inlineStr">
        <is>
          <t>Zona Franca Argos</t>
        </is>
      </c>
      <c r="L29" s="17">
        <f>COUNTIFS(Datos!$D$2:$D$40,$I29)</f>
        <v/>
      </c>
    </row>
    <row r="30">
      <c r="B30" s="22" t="n">
        <v>46273</v>
      </c>
      <c r="C30" s="17">
        <f>COUNTIFS(Datos!$G$2:$G$40,$B30,Datos!$B$2:$B$40,"Proyecto")</f>
        <v/>
      </c>
      <c r="D30" s="17">
        <f>COUNTIFS(Datos!$G$2:$G$40,$B30,Datos!$B$2:$B$40,"Ruta y tiempo")</f>
        <v/>
      </c>
      <c r="I30" s="16" t="inlineStr">
        <is>
          <t>CORPACERO</t>
        </is>
      </c>
      <c r="L30" s="17">
        <f>COUNTIFS(Datos!$D$2:$D$40,$I30)</f>
        <v/>
      </c>
    </row>
    <row r="31">
      <c r="B31" s="22" t="n">
        <v>46274</v>
      </c>
      <c r="C31" s="17">
        <f>COUNTIFS(Datos!$G$2:$G$40,$B31,Datos!$B$2:$B$40,"Proyecto")</f>
        <v/>
      </c>
      <c r="D31" s="17">
        <f>COUNTIFS(Datos!$G$2:$G$40,$B31,Datos!$B$2:$B$40,"Ruta y tiempo")</f>
        <v/>
      </c>
      <c r="I31" s="16" t="inlineStr">
        <is>
          <t>HWE</t>
        </is>
      </c>
      <c r="L31" s="17">
        <f>COUNTIFS(Datos!$D$2:$D$40,$I31)</f>
        <v/>
      </c>
    </row>
    <row r="32">
      <c r="B32" s="22" t="n">
        <v>46275</v>
      </c>
      <c r="C32" s="17">
        <f>COUNTIFS(Datos!$G$2:$G$40,$B32,Datos!$B$2:$B$40,"Proyecto")</f>
        <v/>
      </c>
      <c r="D32" s="17">
        <f>COUNTIFS(Datos!$G$2:$G$40,$B32,Datos!$B$2:$B$40,"Ruta y tiempo")</f>
        <v/>
      </c>
      <c r="I32" s="16" t="inlineStr">
        <is>
          <t>Maritime And Port Engineering Sa (Mapesa)</t>
        </is>
      </c>
      <c r="L32" s="17">
        <f>COUNTIFS(Datos!$D$2:$D$40,$I32)</f>
        <v/>
      </c>
    </row>
    <row r="33">
      <c r="B33" s="22" t="n">
        <v>46276</v>
      </c>
      <c r="C33" s="17">
        <f>COUNTIFS(Datos!$G$2:$G$40,$B33,Datos!$B$2:$B$40,"Proyecto")</f>
        <v/>
      </c>
      <c r="D33" s="17">
        <f>COUNTIFS(Datos!$G$2:$G$40,$B33,Datos!$B$2:$B$40,"Ruta y tiempo")</f>
        <v/>
      </c>
    </row>
    <row r="34">
      <c r="B34" s="22" t="n">
        <v>46277</v>
      </c>
      <c r="C34" s="17">
        <f>COUNTIFS(Datos!$G$2:$G$40,$B34,Datos!$B$2:$B$40,"Proyecto")</f>
        <v/>
      </c>
      <c r="D34" s="17">
        <f>COUNTIFS(Datos!$G$2:$G$40,$B34,Datos!$B$2:$B$40,"Ruta y tiempo")</f>
        <v/>
      </c>
    </row>
    <row r="35">
      <c r="B35" s="22" t="n">
        <v>46278</v>
      </c>
      <c r="C35" s="17">
        <f>COUNTIFS(Datos!$G$2:$G$40,$B35,Datos!$B$2:$B$40,"Proyecto")</f>
        <v/>
      </c>
      <c r="D35" s="17">
        <f>COUNTIFS(Datos!$G$2:$G$40,$B35,Datos!$B$2:$B$40,"Ruta y tiempo")</f>
        <v/>
      </c>
    </row>
    <row r="36">
      <c r="B36" s="22" t="n">
        <v>46279</v>
      </c>
      <c r="C36" s="17">
        <f>COUNTIFS(Datos!$G$2:$G$40,$B36,Datos!$B$2:$B$40,"Proyecto")</f>
        <v/>
      </c>
      <c r="D36" s="17">
        <f>COUNTIFS(Datos!$G$2:$G$40,$B36,Datos!$B$2:$B$40,"Ruta y tiempo")</f>
        <v/>
      </c>
    </row>
    <row r="37">
      <c r="B37" s="22" t="n">
        <v>46280</v>
      </c>
      <c r="C37" s="17">
        <f>COUNTIFS(Datos!$G$2:$G$40,$B37,Datos!$B$2:$B$40,"Proyecto")</f>
        <v/>
      </c>
      <c r="D37" s="17">
        <f>COUNTIFS(Datos!$G$2:$G$40,$B37,Datos!$B$2:$B$40,"Ruta y tiempo")</f>
        <v/>
      </c>
    </row>
    <row r="38">
      <c r="B38" s="22" t="n">
        <v>46281</v>
      </c>
      <c r="C38" s="17">
        <f>COUNTIFS(Datos!$G$2:$G$40,$B38,Datos!$B$2:$B$40,"Proyecto")</f>
        <v/>
      </c>
      <c r="D38" s="17">
        <f>COUNTIFS(Datos!$G$2:$G$40,$B38,Datos!$B$2:$B$40,"Ruta y tiempo")</f>
        <v/>
      </c>
    </row>
    <row r="39">
      <c r="B39" s="22" t="n">
        <v>46282</v>
      </c>
      <c r="C39" s="17">
        <f>COUNTIFS(Datos!$G$2:$G$40,$B39,Datos!$B$2:$B$40,"Proyecto")</f>
        <v/>
      </c>
      <c r="D39" s="17">
        <f>COUNTIFS(Datos!$G$2:$G$40,$B39,Datos!$B$2:$B$40,"Ruta y tiempo")</f>
        <v/>
      </c>
    </row>
    <row r="40">
      <c r="B40" s="22" t="n">
        <v>46283</v>
      </c>
      <c r="C40" s="17">
        <f>COUNTIFS(Datos!$G$2:$G$40,$B40,Datos!$B$2:$B$40,"Proyecto")</f>
        <v/>
      </c>
      <c r="D40" s="17">
        <f>COUNTIFS(Datos!$G$2:$G$40,$B40,Datos!$B$2:$B$40,"Ruta y tiempo")</f>
        <v/>
      </c>
    </row>
    <row r="41">
      <c r="B41" s="22" t="n">
        <v>46284</v>
      </c>
      <c r="C41" s="17">
        <f>COUNTIFS(Datos!$G$2:$G$40,$B41,Datos!$B$2:$B$40,"Proyecto")</f>
        <v/>
      </c>
      <c r="D41" s="17">
        <f>COUNTIFS(Datos!$G$2:$G$40,$B41,Datos!$B$2:$B$40,"Ruta y tiempo")</f>
        <v/>
      </c>
    </row>
    <row r="42">
      <c r="B42" s="22" t="n">
        <v>46285</v>
      </c>
      <c r="C42" s="17">
        <f>COUNTIFS(Datos!$G$2:$G$40,$B42,Datos!$B$2:$B$40,"Proyecto")</f>
        <v/>
      </c>
      <c r="D42" s="17">
        <f>COUNTIFS(Datos!$G$2:$G$40,$B42,Datos!$B$2:$B$40,"Ruta y tiempo")</f>
        <v/>
      </c>
    </row>
    <row r="43">
      <c r="B43" s="22" t="n">
        <v>46286</v>
      </c>
      <c r="C43" s="17">
        <f>COUNTIFS(Datos!$G$2:$G$40,$B43,Datos!$B$2:$B$40,"Proyecto")</f>
        <v/>
      </c>
      <c r="D43" s="17">
        <f>COUNTIFS(Datos!$G$2:$G$40,$B43,Datos!$B$2:$B$40,"Ruta y tiempo")</f>
        <v/>
      </c>
    </row>
    <row r="44">
      <c r="B44" s="22" t="n">
        <v>46287</v>
      </c>
      <c r="C44" s="17">
        <f>COUNTIFS(Datos!$G$2:$G$40,$B44,Datos!$B$2:$B$40,"Proyecto")</f>
        <v/>
      </c>
      <c r="D44" s="17">
        <f>COUNTIFS(Datos!$G$2:$G$40,$B44,Datos!$B$2:$B$40,"Ruta y tiempo")</f>
        <v/>
      </c>
    </row>
    <row r="45">
      <c r="B45" s="22" t="n">
        <v>46288</v>
      </c>
      <c r="C45" s="17">
        <f>COUNTIFS(Datos!$G$2:$G$40,$B45,Datos!$B$2:$B$40,"Proyecto")</f>
        <v/>
      </c>
      <c r="D45" s="17">
        <f>COUNTIFS(Datos!$G$2:$G$40,$B45,Datos!$B$2:$B$40,"Ruta y tiempo")</f>
        <v/>
      </c>
    </row>
    <row r="46">
      <c r="B46" s="22" t="n">
        <v>46289</v>
      </c>
      <c r="C46" s="17">
        <f>COUNTIFS(Datos!$G$2:$G$40,$B46,Datos!$B$2:$B$40,"Proyecto")</f>
        <v/>
      </c>
      <c r="D46" s="17">
        <f>COUNTIFS(Datos!$G$2:$G$40,$B46,Datos!$B$2:$B$40,"Ruta y tiempo")</f>
        <v/>
      </c>
    </row>
    <row r="47">
      <c r="B47" s="22" t="n">
        <v>46290</v>
      </c>
      <c r="C47" s="17">
        <f>COUNTIFS(Datos!$G$2:$G$40,$B47,Datos!$B$2:$B$40,"Proyecto")</f>
        <v/>
      </c>
      <c r="D47" s="17">
        <f>COUNTIFS(Datos!$G$2:$G$40,$B47,Datos!$B$2:$B$40,"Ruta y tiempo")</f>
        <v/>
      </c>
    </row>
    <row r="48">
      <c r="B48" s="22" t="n">
        <v>46291</v>
      </c>
      <c r="C48" s="17">
        <f>COUNTIFS(Datos!$G$2:$G$40,$B48,Datos!$B$2:$B$40,"Proyecto")</f>
        <v/>
      </c>
      <c r="D48" s="17">
        <f>COUNTIFS(Datos!$G$2:$G$40,$B48,Datos!$B$2:$B$40,"Ruta y tiempo")</f>
        <v/>
      </c>
    </row>
    <row r="49">
      <c r="B49" s="22" t="n">
        <v>46292</v>
      </c>
      <c r="C49" s="17">
        <f>COUNTIFS(Datos!$G$2:$G$40,$B49,Datos!$B$2:$B$40,"Proyecto")</f>
        <v/>
      </c>
      <c r="D49" s="17">
        <f>COUNTIFS(Datos!$G$2:$G$40,$B49,Datos!$B$2:$B$40,"Ruta y tiempo")</f>
        <v/>
      </c>
    </row>
    <row r="50">
      <c r="B50" s="22" t="n">
        <v>46293</v>
      </c>
      <c r="C50" s="17">
        <f>COUNTIFS(Datos!$G$2:$G$40,$B50,Datos!$B$2:$B$40,"Proyecto")</f>
        <v/>
      </c>
      <c r="D50" s="17">
        <f>COUNTIFS(Datos!$G$2:$G$40,$B50,Datos!$B$2:$B$40,"Ruta y tiempo")</f>
        <v/>
      </c>
    </row>
    <row r="51">
      <c r="B51" s="22" t="n">
        <v>46294</v>
      </c>
      <c r="C51" s="17">
        <f>COUNTIFS(Datos!$G$2:$G$40,$B51,Datos!$B$2:$B$40,"Proyecto")</f>
        <v/>
      </c>
      <c r="D51" s="17">
        <f>COUNTIFS(Datos!$G$2:$G$40,$B51,Datos!$B$2:$B$40,"Ruta y tiempo")</f>
        <v/>
      </c>
    </row>
    <row r="52">
      <c r="B52" s="22" t="n">
        <v>46295</v>
      </c>
      <c r="C52" s="17">
        <f>COUNTIFS(Datos!$G$2:$G$40,$B52,Datos!$B$2:$B$40,"Proyecto")</f>
        <v/>
      </c>
      <c r="D52" s="17">
        <f>COUNTIFS(Datos!$G$2:$G$40,$B52,Datos!$B$2:$B$40,"Ruta y tiempo")</f>
        <v/>
      </c>
    </row>
    <row r="53"/>
    <row r="54"/>
    <row r="55"/>
    <row r="56"/>
    <row r="57"/>
    <row r="58"/>
    <row r="59"/>
    <row r="60"/>
    <row r="90">
      <c r="B90" s="23" t="inlineStr">
        <is>
          <t>Fuente: reporte-gestion 2026-09-01 a 2026-09-30. Las cifras son fórmulas sobre la hoja “Datos”; “Cerrados en el período” cuenta cierres hasta el 30/09/2026.</t>
        </is>
      </c>
    </row>
  </sheetData>
  <mergeCells count="21">
    <mergeCell ref="F4:G4"/>
    <mergeCell ref="J5:K5"/>
    <mergeCell ref="F6:G6"/>
    <mergeCell ref="H4:I4"/>
    <mergeCell ref="D6:E6"/>
    <mergeCell ref="H6:I6"/>
    <mergeCell ref="J6:K6"/>
    <mergeCell ref="F5:G5"/>
    <mergeCell ref="L5:M5"/>
    <mergeCell ref="N5:O5"/>
    <mergeCell ref="J4:K4"/>
    <mergeCell ref="L4:M4"/>
    <mergeCell ref="D4:E4"/>
    <mergeCell ref="B6:C6"/>
    <mergeCell ref="L6:M6"/>
    <mergeCell ref="B5:C5"/>
    <mergeCell ref="N6:O6"/>
    <mergeCell ref="D5:E5"/>
    <mergeCell ref="H5:I5"/>
    <mergeCell ref="B4:C4"/>
    <mergeCell ref="N4:O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5" customWidth="1" min="2" max="2"/>
    <col width="24" customWidth="1" min="3" max="3"/>
    <col width="36" customWidth="1" min="4" max="4"/>
    <col width="18" customWidth="1" min="5" max="5"/>
    <col width="18" customWidth="1" min="6" max="6"/>
    <col width="14" customWidth="1" min="7" max="7"/>
    <col width="14" customWidth="1" min="8" max="8"/>
    <col width="12" customWidth="1" min="9" max="9"/>
    <col width="12" customWidth="1" min="10" max="10"/>
    <col width="11" customWidth="1" min="11" max="11"/>
  </cols>
  <sheetData>
    <row r="1">
      <c r="A1" t="inlineStr">
        <is>
          <t>Nombre</t>
        </is>
      </c>
      <c r="B1" t="inlineStr">
        <is>
          <t>Categoría</t>
        </is>
      </c>
      <c r="C1" t="inlineStr">
        <is>
          <t>RS / OP</t>
        </is>
      </c>
      <c r="D1" t="inlineStr">
        <is>
          <t>Cliente</t>
        </is>
      </c>
      <c r="E1" t="inlineStr">
        <is>
          <t>Solicitado por</t>
        </is>
      </c>
      <c r="F1" t="inlineStr">
        <is>
          <t>Responsable</t>
        </is>
      </c>
      <c r="G1" t="inlineStr">
        <is>
          <t>Fecha solicitud</t>
        </is>
      </c>
      <c r="H1" t="inlineStr">
        <is>
          <t>Fecha cierre</t>
        </is>
      </c>
      <c r="I1" t="inlineStr">
        <is>
          <t>Días en cerrar</t>
        </is>
      </c>
      <c r="J1" t="inlineStr">
        <is>
          <t>Estado</t>
        </is>
      </c>
      <c r="K1" t="inlineStr">
        <is>
          <t>Prioridad</t>
        </is>
      </c>
    </row>
    <row r="2">
      <c r="A2" t="inlineStr">
        <is>
          <t>PRUEBA BANDA LIJA PROOVEDOR VSM</t>
        </is>
      </c>
      <c r="B2" t="inlineStr">
        <is>
          <t>Proyecto</t>
        </is>
      </c>
      <c r="D2" t="inlineStr">
        <is>
          <t>Relianz</t>
        </is>
      </c>
      <c r="E2" t="inlineStr">
        <is>
          <t>Juan Lujan</t>
        </is>
      </c>
      <c r="F2" t="inlineStr">
        <is>
          <t>Carlos Martinez</t>
        </is>
      </c>
      <c r="G2" s="24" t="n">
        <v>46295</v>
      </c>
      <c r="H2" s="24" t="n"/>
      <c r="J2" t="inlineStr">
        <is>
          <t>A tiempo</t>
        </is>
      </c>
      <c r="K2" t="inlineStr">
        <is>
          <t>Media</t>
        </is>
      </c>
    </row>
    <row r="3">
      <c r="A3" t="inlineStr">
        <is>
          <t>Seguimiento bandas VSM</t>
        </is>
      </c>
      <c r="B3" t="inlineStr">
        <is>
          <t>Proyecto</t>
        </is>
      </c>
      <c r="D3" t="inlineStr">
        <is>
          <t>Sin cliente</t>
        </is>
      </c>
      <c r="E3" t="inlineStr">
        <is>
          <t>Juan Lujan</t>
        </is>
      </c>
      <c r="F3" t="inlineStr">
        <is>
          <t>Carlos Martinez</t>
        </is>
      </c>
      <c r="G3" s="24" t="n">
        <v>46293</v>
      </c>
      <c r="H3" s="24" t="n">
        <v>46296</v>
      </c>
      <c r="I3" t="n">
        <v>3</v>
      </c>
      <c r="J3" t="inlineStr">
        <is>
          <t>Cerrado</t>
        </is>
      </c>
      <c r="K3" t="inlineStr">
        <is>
          <t>Media</t>
        </is>
      </c>
    </row>
    <row r="4">
      <c r="A4" t="inlineStr">
        <is>
          <t>Definición y estandarización de criterios de reparación para alojamientos de válvulas en pistones levante e inclinacion</t>
        </is>
      </c>
      <c r="B4" t="inlineStr">
        <is>
          <t>Proyecto</t>
        </is>
      </c>
      <c r="D4" t="inlineStr">
        <is>
          <t>Relianz</t>
        </is>
      </c>
      <c r="E4" t="inlineStr">
        <is>
          <t>Juan Lujan</t>
        </is>
      </c>
      <c r="F4" t="inlineStr">
        <is>
          <t>Edwin Meza</t>
        </is>
      </c>
      <c r="G4" s="24" t="n">
        <v>46290</v>
      </c>
      <c r="H4" s="24" t="n"/>
      <c r="J4" t="inlineStr">
        <is>
          <t>A tiempo</t>
        </is>
      </c>
      <c r="K4" t="inlineStr">
        <is>
          <t>Media</t>
        </is>
      </c>
    </row>
    <row r="5">
      <c r="A5" t="inlineStr">
        <is>
          <t>STOCK TORNILLOS AREA INGENIERIA</t>
        </is>
      </c>
      <c r="B5" t="inlineStr">
        <is>
          <t>Proyecto</t>
        </is>
      </c>
      <c r="D5" t="inlineStr">
        <is>
          <t>Relianz</t>
        </is>
      </c>
      <c r="E5" t="inlineStr">
        <is>
          <t>Carlos Martinez</t>
        </is>
      </c>
      <c r="F5" t="inlineStr">
        <is>
          <t>Carlos Martinez</t>
        </is>
      </c>
      <c r="G5" s="24" t="n">
        <v>46288</v>
      </c>
      <c r="H5" s="24" t="n"/>
      <c r="J5" t="inlineStr">
        <is>
          <t>Vencido</t>
        </is>
      </c>
      <c r="K5" t="inlineStr">
        <is>
          <t>Media</t>
        </is>
      </c>
    </row>
    <row r="6">
      <c r="A6" t="inlineStr">
        <is>
          <t>SUPERFINISHER</t>
        </is>
      </c>
      <c r="B6" t="inlineStr">
        <is>
          <t>Proyecto</t>
        </is>
      </c>
      <c r="D6" t="inlineStr">
        <is>
          <t>Relianz</t>
        </is>
      </c>
      <c r="E6" t="inlineStr">
        <is>
          <t>Edwin Meza</t>
        </is>
      </c>
      <c r="F6" t="inlineStr">
        <is>
          <t>Carlos Martinez</t>
        </is>
      </c>
      <c r="G6" s="24" t="n">
        <v>46288</v>
      </c>
      <c r="H6" s="24" t="n"/>
      <c r="J6" t="inlineStr">
        <is>
          <t>Vencido</t>
        </is>
      </c>
      <c r="K6" t="inlineStr">
        <is>
          <t>Media</t>
        </is>
      </c>
    </row>
    <row r="7">
      <c r="A7" t="inlineStr">
        <is>
          <t>Guardas protectoras</t>
        </is>
      </c>
      <c r="B7" t="inlineStr">
        <is>
          <t>Proyecto</t>
        </is>
      </c>
      <c r="D7" t="inlineStr">
        <is>
          <t>Relianz</t>
        </is>
      </c>
      <c r="E7" t="inlineStr">
        <is>
          <t>Juan Lujan</t>
        </is>
      </c>
      <c r="F7" t="inlineStr">
        <is>
          <t>Carlos Martinez</t>
        </is>
      </c>
      <c r="G7" s="24" t="n">
        <v>46288</v>
      </c>
      <c r="H7" s="24" t="n"/>
      <c r="J7" t="inlineStr">
        <is>
          <t>Vencido</t>
        </is>
      </c>
      <c r="K7" t="inlineStr">
        <is>
          <t>Media</t>
        </is>
      </c>
    </row>
    <row r="8">
      <c r="A8" t="inlineStr">
        <is>
          <t>HUNGER3500 Raw Material Tension Cylinder</t>
        </is>
      </c>
      <c r="B8" t="inlineStr">
        <is>
          <t>Ruta y tiempo</t>
        </is>
      </c>
      <c r="C8" t="inlineStr">
        <is>
          <t>RS00081109</t>
        </is>
      </c>
      <c r="D8" t="inlineStr">
        <is>
          <t>Zona Franca Argos</t>
        </is>
      </c>
      <c r="E8" t="inlineStr">
        <is>
          <t>Johana Miranda</t>
        </is>
      </c>
      <c r="F8" t="inlineStr">
        <is>
          <t>Edwin Meza</t>
        </is>
      </c>
      <c r="G8" s="24" t="n">
        <v>46288</v>
      </c>
      <c r="H8" s="24" t="n">
        <v>46288</v>
      </c>
      <c r="I8" t="n">
        <v>0</v>
      </c>
      <c r="J8" t="inlineStr">
        <is>
          <t>Cerrado</t>
        </is>
      </c>
      <c r="K8" t="inlineStr">
        <is>
          <t>Media</t>
        </is>
      </c>
    </row>
    <row r="9">
      <c r="A9" t="inlineStr">
        <is>
          <t>FABRICACION DE VASTAGO CATERPILLAR</t>
        </is>
      </c>
      <c r="B9" t="inlineStr">
        <is>
          <t>Ruta y tiempo</t>
        </is>
      </c>
      <c r="C9" t="inlineStr">
        <is>
          <t>RS00067716</t>
        </is>
      </c>
      <c r="D9" t="inlineStr">
        <is>
          <t>Relianz</t>
        </is>
      </c>
      <c r="E9" t="inlineStr">
        <is>
          <t>Ricardo Castilla</t>
        </is>
      </c>
      <c r="F9" t="inlineStr">
        <is>
          <t>Edwin Meza</t>
        </is>
      </c>
      <c r="G9" s="24" t="n">
        <v>46288</v>
      </c>
      <c r="H9" s="24" t="n">
        <v>46288</v>
      </c>
      <c r="I9" t="n">
        <v>0</v>
      </c>
      <c r="J9" t="inlineStr">
        <is>
          <t>Cerrado</t>
        </is>
      </c>
      <c r="K9" t="inlineStr">
        <is>
          <t>Media</t>
        </is>
      </c>
    </row>
    <row r="10">
      <c r="A10" t="inlineStr">
        <is>
          <t>PRUEBA RECTIFICADO CONO GRINDER</t>
        </is>
      </c>
      <c r="B10" t="inlineStr">
        <is>
          <t>Proyecto</t>
        </is>
      </c>
      <c r="D10" t="inlineStr">
        <is>
          <t>Relianz</t>
        </is>
      </c>
      <c r="E10" t="inlineStr">
        <is>
          <t>Carlos Lopez</t>
        </is>
      </c>
      <c r="F10" t="inlineStr">
        <is>
          <t>Edwin Meza</t>
        </is>
      </c>
      <c r="G10" s="24" t="n">
        <v>46288</v>
      </c>
      <c r="H10" s="24" t="n"/>
      <c r="J10" t="inlineStr">
        <is>
          <t>A tiempo</t>
        </is>
      </c>
      <c r="K10" t="inlineStr">
        <is>
          <t>Media</t>
        </is>
      </c>
    </row>
    <row r="11">
      <c r="A11" t="inlineStr">
        <is>
          <t>Cilindro Hidráulico Gato Principal</t>
        </is>
      </c>
      <c r="B11" t="inlineStr">
        <is>
          <t>Ruta y tiempo</t>
        </is>
      </c>
      <c r="C11" t="inlineStr">
        <is>
          <t>RS00081361</t>
        </is>
      </c>
      <c r="D11" t="inlineStr">
        <is>
          <t>CARBONES DEL CERREJON</t>
        </is>
      </c>
      <c r="E11" t="inlineStr">
        <is>
          <t>Ricardo Castilla</t>
        </is>
      </c>
      <c r="F11" t="inlineStr">
        <is>
          <t>Edwin Meza</t>
        </is>
      </c>
      <c r="G11" s="24" t="n">
        <v>46287</v>
      </c>
      <c r="H11" s="24" t="n">
        <v>46287</v>
      </c>
      <c r="I11" t="n">
        <v>0</v>
      </c>
      <c r="J11" t="inlineStr">
        <is>
          <t>Cerrado</t>
        </is>
      </c>
      <c r="K11" t="inlineStr">
        <is>
          <t>Media</t>
        </is>
      </c>
    </row>
    <row r="12">
      <c r="A12" t="inlineStr">
        <is>
          <t>Cilindro Hidráulico Gato Principal</t>
        </is>
      </c>
      <c r="B12" t="inlineStr">
        <is>
          <t>Ruta y tiempo</t>
        </is>
      </c>
      <c r="C12" t="inlineStr">
        <is>
          <t>RS00081360</t>
        </is>
      </c>
      <c r="D12" t="inlineStr">
        <is>
          <t>CARBONES DEL CERREJON</t>
        </is>
      </c>
      <c r="E12" t="inlineStr">
        <is>
          <t>Ricardo Castilla</t>
        </is>
      </c>
      <c r="F12" t="inlineStr">
        <is>
          <t>Edwin Meza</t>
        </is>
      </c>
      <c r="G12" s="24" t="n">
        <v>46287</v>
      </c>
      <c r="H12" s="24" t="n">
        <v>46287</v>
      </c>
      <c r="I12" t="n">
        <v>0</v>
      </c>
      <c r="J12" t="inlineStr">
        <is>
          <t>Cerrado</t>
        </is>
      </c>
      <c r="K12" t="inlineStr">
        <is>
          <t>Media</t>
        </is>
      </c>
    </row>
    <row r="13">
      <c r="A13" t="inlineStr">
        <is>
          <t>RECUPERACIÓN RODILLO GALVANIZADO</t>
        </is>
      </c>
      <c r="B13" t="inlineStr">
        <is>
          <t>Proyecto</t>
        </is>
      </c>
      <c r="C13" t="inlineStr">
        <is>
          <t>OP00088201</t>
        </is>
      </c>
      <c r="D13" t="inlineStr">
        <is>
          <t>CORPACERO</t>
        </is>
      </c>
      <c r="E13" t="inlineStr">
        <is>
          <t>Alfredo Granados</t>
        </is>
      </c>
      <c r="F13" t="inlineStr">
        <is>
          <t>Edwin Meza</t>
        </is>
      </c>
      <c r="G13" s="24" t="n">
        <v>46287</v>
      </c>
      <c r="H13" s="24" t="n"/>
      <c r="J13" t="inlineStr">
        <is>
          <t>Vencido</t>
        </is>
      </c>
      <c r="K13" t="inlineStr">
        <is>
          <t>Media</t>
        </is>
      </c>
    </row>
    <row r="14">
      <c r="A14" t="inlineStr">
        <is>
          <t>Junta de Nylon Bipartida</t>
        </is>
      </c>
      <c r="B14" t="inlineStr">
        <is>
          <t>Ruta y tiempo</t>
        </is>
      </c>
      <c r="C14" t="inlineStr">
        <is>
          <t>OP00088854</t>
        </is>
      </c>
      <c r="D14" t="inlineStr">
        <is>
          <t>Sin cliente</t>
        </is>
      </c>
      <c r="E14" t="inlineStr">
        <is>
          <t>Alfredo Granados</t>
        </is>
      </c>
      <c r="F14" t="inlineStr">
        <is>
          <t>Edwin Meza</t>
        </is>
      </c>
      <c r="G14" s="24" t="n">
        <v>46286</v>
      </c>
      <c r="H14" s="24" t="n">
        <v>46287</v>
      </c>
      <c r="I14" t="n">
        <v>1</v>
      </c>
      <c r="J14" t="inlineStr">
        <is>
          <t>Cerrado</t>
        </is>
      </c>
      <c r="K14" t="inlineStr">
        <is>
          <t>Media</t>
        </is>
      </c>
    </row>
    <row r="15">
      <c r="A15" t="inlineStr">
        <is>
          <t>HIDRAULICO DE TALLER HWE</t>
        </is>
      </c>
      <c r="B15" t="inlineStr">
        <is>
          <t>Ruta y tiempo</t>
        </is>
      </c>
      <c r="C15" t="inlineStr">
        <is>
          <t>RS00066229</t>
        </is>
      </c>
      <c r="D15" t="inlineStr">
        <is>
          <t>HWE</t>
        </is>
      </c>
      <c r="E15" t="inlineStr">
        <is>
          <t>Yenifer Ramirez</t>
        </is>
      </c>
      <c r="F15" t="inlineStr">
        <is>
          <t>Edwin Meza</t>
        </is>
      </c>
      <c r="G15" s="24" t="n">
        <v>46286</v>
      </c>
      <c r="H15" s="24" t="n">
        <v>46291</v>
      </c>
      <c r="I15" t="n">
        <v>5</v>
      </c>
      <c r="J15" t="inlineStr">
        <is>
          <t>Cerrado</t>
        </is>
      </c>
      <c r="K15" t="inlineStr">
        <is>
          <t>Media</t>
        </is>
      </c>
    </row>
    <row r="16">
      <c r="A16" t="inlineStr">
        <is>
          <t>Barra Estabilizadora</t>
        </is>
      </c>
      <c r="B16" t="inlineStr">
        <is>
          <t>Ruta y tiempo</t>
        </is>
      </c>
      <c r="C16" t="inlineStr">
        <is>
          <t>RS00080540</t>
        </is>
      </c>
      <c r="D16" t="inlineStr">
        <is>
          <t>Cerrjon</t>
        </is>
      </c>
      <c r="E16" t="inlineStr">
        <is>
          <t>Johana Miranda</t>
        </is>
      </c>
      <c r="F16" t="inlineStr">
        <is>
          <t>Edwin Meza</t>
        </is>
      </c>
      <c r="G16" s="24" t="n">
        <v>46286</v>
      </c>
      <c r="H16" s="24" t="n">
        <v>46287</v>
      </c>
      <c r="I16" t="n">
        <v>1</v>
      </c>
      <c r="J16" t="inlineStr">
        <is>
          <t>Cerrado</t>
        </is>
      </c>
      <c r="K16" t="inlineStr">
        <is>
          <t>Media</t>
        </is>
      </c>
    </row>
    <row r="17">
      <c r="A17" t="inlineStr">
        <is>
          <t>Camisa de Balde</t>
        </is>
      </c>
      <c r="B17" t="inlineStr">
        <is>
          <t>Ruta y tiempo</t>
        </is>
      </c>
      <c r="C17" t="inlineStr">
        <is>
          <t>RS00080597</t>
        </is>
      </c>
      <c r="D17" t="inlineStr">
        <is>
          <t>Maritime And Port Engineering Sa (Mapesa)</t>
        </is>
      </c>
      <c r="E17" t="inlineStr">
        <is>
          <t>Yenifer Ramirez</t>
        </is>
      </c>
      <c r="F17" t="inlineStr">
        <is>
          <t>Edwin Meza</t>
        </is>
      </c>
      <c r="G17" s="24" t="n">
        <v>46286</v>
      </c>
      <c r="H17" s="24" t="n">
        <v>46288</v>
      </c>
      <c r="I17" t="n">
        <v>2</v>
      </c>
      <c r="J17" t="inlineStr">
        <is>
          <t>Cerrado</t>
        </is>
      </c>
      <c r="K17" t="inlineStr">
        <is>
          <t>Media</t>
        </is>
      </c>
    </row>
    <row r="18">
      <c r="A18" t="inlineStr">
        <is>
          <t>Cilindro Levante Segunda Seccion</t>
        </is>
      </c>
      <c r="B18" t="inlineStr">
        <is>
          <t>Ruta y tiempo</t>
        </is>
      </c>
      <c r="C18" t="inlineStr">
        <is>
          <t>RS00080478</t>
        </is>
      </c>
      <c r="D18" t="inlineStr">
        <is>
          <t>Machine Shop</t>
        </is>
      </c>
      <c r="E18" t="inlineStr">
        <is>
          <t>Yenifer Ramirez</t>
        </is>
      </c>
      <c r="F18" t="inlineStr">
        <is>
          <t>Edwin Meza</t>
        </is>
      </c>
      <c r="G18" s="24" t="n">
        <v>46286</v>
      </c>
      <c r="H18" s="24" t="n">
        <v>46286</v>
      </c>
      <c r="I18" t="n">
        <v>0</v>
      </c>
      <c r="J18" t="inlineStr">
        <is>
          <t>Cerrado</t>
        </is>
      </c>
      <c r="K18" t="inlineStr">
        <is>
          <t>Media</t>
        </is>
      </c>
    </row>
    <row r="19">
      <c r="A19" t="inlineStr">
        <is>
          <t>Cilindro Hidráulico Sideshifter</t>
        </is>
      </c>
      <c r="B19" t="inlineStr">
        <is>
          <t>Ruta y tiempo</t>
        </is>
      </c>
      <c r="C19" t="inlineStr">
        <is>
          <t>RS00080259</t>
        </is>
      </c>
      <c r="D19" t="inlineStr">
        <is>
          <t>ASSEMBLY SDI</t>
        </is>
      </c>
      <c r="E19" t="inlineStr">
        <is>
          <t>Johana Miranda</t>
        </is>
      </c>
      <c r="F19" t="inlineStr">
        <is>
          <t>Edwin Meza</t>
        </is>
      </c>
      <c r="G19" s="24" t="n">
        <v>46276</v>
      </c>
      <c r="H19" s="24" t="n">
        <v>46287</v>
      </c>
      <c r="I19" t="n">
        <v>11</v>
      </c>
      <c r="J19" t="inlineStr">
        <is>
          <t>Cerrado</t>
        </is>
      </c>
      <c r="K19" t="inlineStr">
        <is>
          <t>Media</t>
        </is>
      </c>
    </row>
    <row r="20">
      <c r="A20" t="inlineStr">
        <is>
          <t>Pull Down</t>
        </is>
      </c>
      <c r="B20" t="inlineStr">
        <is>
          <t>Proyecto</t>
        </is>
      </c>
      <c r="C20" t="inlineStr">
        <is>
          <t>RS00080348</t>
        </is>
      </c>
      <c r="D20" t="inlineStr">
        <is>
          <t>Petroworks S.A.S</t>
        </is>
      </c>
      <c r="E20" t="inlineStr">
        <is>
          <t>Yesid Fren</t>
        </is>
      </c>
      <c r="F20" t="inlineStr">
        <is>
          <t>Carlos Martinez</t>
        </is>
      </c>
      <c r="G20" s="24" t="n">
        <v>46276</v>
      </c>
      <c r="H20" s="24" t="n"/>
      <c r="J20" t="inlineStr">
        <is>
          <t>Suspendido</t>
        </is>
      </c>
      <c r="K20" t="inlineStr">
        <is>
          <t>Alta</t>
        </is>
      </c>
    </row>
    <row r="21">
      <c r="A21" t="inlineStr">
        <is>
          <t>LOW BOY ( MAIN LIFT)</t>
        </is>
      </c>
      <c r="B21" t="inlineStr">
        <is>
          <t>Ruta y tiempo</t>
        </is>
      </c>
      <c r="C21" t="inlineStr">
        <is>
          <t>RS00079955</t>
        </is>
      </c>
      <c r="D21" t="inlineStr">
        <is>
          <t>Drummond</t>
        </is>
      </c>
      <c r="E21" t="inlineStr">
        <is>
          <t>Ricardo Castilla</t>
        </is>
      </c>
      <c r="F21" t="inlineStr">
        <is>
          <t>Edwin Meza</t>
        </is>
      </c>
      <c r="G21" s="24" t="n">
        <v>46276</v>
      </c>
      <c r="H21" s="24" t="n">
        <v>46276</v>
      </c>
      <c r="I21" t="n">
        <v>0</v>
      </c>
      <c r="J21" t="inlineStr">
        <is>
          <t>Cerrado</t>
        </is>
      </c>
      <c r="K21" t="inlineStr">
        <is>
          <t>Media</t>
        </is>
      </c>
    </row>
    <row r="22">
      <c r="A22" t="inlineStr">
        <is>
          <t>DISPOSITIVO AGUJAS DEVAP</t>
        </is>
      </c>
      <c r="B22" t="inlineStr">
        <is>
          <t>Proyecto</t>
        </is>
      </c>
      <c r="D22" t="inlineStr">
        <is>
          <t>Relianz</t>
        </is>
      </c>
      <c r="E22" t="inlineStr">
        <is>
          <t>Carlos Ovallos</t>
        </is>
      </c>
      <c r="F22" t="inlineStr">
        <is>
          <t>Carlos Martinez</t>
        </is>
      </c>
      <c r="G22" s="24" t="n">
        <v>46275</v>
      </c>
      <c r="H22" s="24" t="n"/>
      <c r="J22" t="inlineStr">
        <is>
          <t>Vencido</t>
        </is>
      </c>
      <c r="K22" t="inlineStr">
        <is>
          <t>Media</t>
        </is>
      </c>
    </row>
    <row r="23">
      <c r="A23" t="inlineStr">
        <is>
          <t>PRUEBA BANDA LIJA 180 POLICHADO</t>
        </is>
      </c>
      <c r="B23" t="inlineStr">
        <is>
          <t>Proyecto</t>
        </is>
      </c>
      <c r="D23" t="inlineStr">
        <is>
          <t>Relianz</t>
        </is>
      </c>
      <c r="E23" t="inlineStr">
        <is>
          <t>Juan Lujan</t>
        </is>
      </c>
      <c r="F23" t="inlineStr">
        <is>
          <t>Carlos Martinez</t>
        </is>
      </c>
      <c r="G23" s="24" t="n">
        <v>46274</v>
      </c>
      <c r="H23" s="24" t="n">
        <v>46275</v>
      </c>
      <c r="I23" t="n">
        <v>1</v>
      </c>
      <c r="J23" t="inlineStr">
        <is>
          <t>Cerrado</t>
        </is>
      </c>
      <c r="K23" t="inlineStr">
        <is>
          <t>Media</t>
        </is>
      </c>
    </row>
    <row r="24">
      <c r="A24" t="inlineStr">
        <is>
          <t>Optimización de Parámetros de Roscado con Machuelo en Máquinas CNC</t>
        </is>
      </c>
      <c r="B24" t="inlineStr">
        <is>
          <t>Proyecto</t>
        </is>
      </c>
      <c r="D24" t="inlineStr">
        <is>
          <t>Relianz</t>
        </is>
      </c>
      <c r="E24" t="inlineStr">
        <is>
          <t>Edwin Meza</t>
        </is>
      </c>
      <c r="F24" t="inlineStr">
        <is>
          <t>Henry Candelario</t>
        </is>
      </c>
      <c r="G24" s="24" t="n">
        <v>46274</v>
      </c>
      <c r="H24" s="24" t="n"/>
      <c r="J24" t="inlineStr">
        <is>
          <t>Vencido</t>
        </is>
      </c>
      <c r="K24" t="inlineStr">
        <is>
          <t>Media</t>
        </is>
      </c>
    </row>
    <row r="25">
      <c r="A25" t="inlineStr">
        <is>
          <t>FALCON 1000 1ER ETAPA</t>
        </is>
      </c>
      <c r="B25" t="inlineStr">
        <is>
          <t>Proyecto</t>
        </is>
      </c>
      <c r="C25" t="inlineStr">
        <is>
          <t>RS00076606 Y RS00076627</t>
        </is>
      </c>
      <c r="D25" t="inlineStr">
        <is>
          <t>Relianz</t>
        </is>
      </c>
      <c r="E25" t="inlineStr">
        <is>
          <t>Alberto suarez</t>
        </is>
      </c>
      <c r="F25" t="inlineStr">
        <is>
          <t>Carlos Martinez</t>
        </is>
      </c>
      <c r="G25" s="24" t="n">
        <v>46272</v>
      </c>
      <c r="H25" s="24" t="n">
        <v>46275</v>
      </c>
      <c r="I25" t="n">
        <v>3</v>
      </c>
      <c r="J25" t="inlineStr">
        <is>
          <t>Cerrado</t>
        </is>
      </c>
      <c r="K25" t="inlineStr">
        <is>
          <t>Alta</t>
        </is>
      </c>
    </row>
    <row r="26">
      <c r="A26" t="inlineStr">
        <is>
          <t>Cilindro Levante Manipulador</t>
        </is>
      </c>
      <c r="B26" t="inlineStr">
        <is>
          <t>Ruta y tiempo</t>
        </is>
      </c>
      <c r="C26" t="inlineStr">
        <is>
          <t>RS00079091</t>
        </is>
      </c>
      <c r="D26" t="inlineStr">
        <is>
          <t>Petroworks S.A.S</t>
        </is>
      </c>
      <c r="E26" t="inlineStr">
        <is>
          <t>Johana Miranda</t>
        </is>
      </c>
      <c r="F26" t="inlineStr">
        <is>
          <t>Edwin Meza</t>
        </is>
      </c>
      <c r="G26" s="24" t="n">
        <v>46272</v>
      </c>
      <c r="H26" s="24" t="n">
        <v>46272</v>
      </c>
      <c r="I26" t="n">
        <v>0</v>
      </c>
      <c r="J26" t="inlineStr">
        <is>
          <t>Cerrado</t>
        </is>
      </c>
      <c r="K26" t="inlineStr">
        <is>
          <t>Media</t>
        </is>
      </c>
    </row>
    <row r="27">
      <c r="A27" t="inlineStr">
        <is>
          <t>Front Leveling Cylinder</t>
        </is>
      </c>
      <c r="B27" t="inlineStr">
        <is>
          <t>Ruta y tiempo</t>
        </is>
      </c>
      <c r="C27" t="inlineStr">
        <is>
          <t>RS00080531</t>
        </is>
      </c>
      <c r="D27" t="inlineStr">
        <is>
          <t>Cerrjon</t>
        </is>
      </c>
      <c r="E27" t="inlineStr">
        <is>
          <t>Luisa Olmos</t>
        </is>
      </c>
      <c r="F27" t="inlineStr">
        <is>
          <t>Edwin Meza</t>
        </is>
      </c>
      <c r="G27" s="24" t="n">
        <v>46269</v>
      </c>
      <c r="H27" s="24" t="n">
        <v>46272</v>
      </c>
      <c r="I27" t="n">
        <v>3</v>
      </c>
      <c r="J27" t="inlineStr">
        <is>
          <t>Cerrado</t>
        </is>
      </c>
      <c r="K27" t="inlineStr">
        <is>
          <t>Media</t>
        </is>
      </c>
    </row>
    <row r="28">
      <c r="A28" t="inlineStr">
        <is>
          <t>Pines Blade 854</t>
        </is>
      </c>
      <c r="B28" t="inlineStr">
        <is>
          <t>Ruta y tiempo</t>
        </is>
      </c>
      <c r="C28" t="inlineStr">
        <is>
          <t>RS00080800</t>
        </is>
      </c>
      <c r="D28" t="inlineStr">
        <is>
          <t>Relianz</t>
        </is>
      </c>
      <c r="E28" t="inlineStr">
        <is>
          <t>Yenifer Ramirez</t>
        </is>
      </c>
      <c r="F28" t="inlineStr">
        <is>
          <t>Edwin Meza</t>
        </is>
      </c>
      <c r="G28" s="24" t="n">
        <v>46269</v>
      </c>
      <c r="H28" s="24" t="n">
        <v>46272</v>
      </c>
      <c r="I28" t="n">
        <v>3</v>
      </c>
      <c r="J28" t="inlineStr">
        <is>
          <t>Cerrado</t>
        </is>
      </c>
      <c r="K28" t="inlineStr">
        <is>
          <t>Media</t>
        </is>
      </c>
    </row>
    <row r="29">
      <c r="A29" t="inlineStr">
        <is>
          <t>Cromar varios vastagos</t>
        </is>
      </c>
      <c r="B29" t="inlineStr">
        <is>
          <t>Proyecto</t>
        </is>
      </c>
      <c r="D29" t="inlineStr">
        <is>
          <t>Relianz</t>
        </is>
      </c>
      <c r="E29" t="inlineStr">
        <is>
          <t>Juan Lujan</t>
        </is>
      </c>
      <c r="F29" t="inlineStr">
        <is>
          <t>Edwin Meza</t>
        </is>
      </c>
      <c r="G29" s="24" t="n">
        <v>46269</v>
      </c>
      <c r="H29" s="24" t="n"/>
      <c r="J29" t="inlineStr">
        <is>
          <t>A tiempo</t>
        </is>
      </c>
      <c r="K29" t="inlineStr">
        <is>
          <t>Media</t>
        </is>
      </c>
    </row>
    <row r="30">
      <c r="A30" t="inlineStr">
        <is>
          <t>Mejoramiento del cromado para rotores</t>
        </is>
      </c>
      <c r="B30" t="inlineStr">
        <is>
          <t>Proyecto</t>
        </is>
      </c>
      <c r="D30" t="inlineStr">
        <is>
          <t>Relianz</t>
        </is>
      </c>
      <c r="E30" t="inlineStr">
        <is>
          <t>Juan Lujan</t>
        </is>
      </c>
      <c r="F30" t="inlineStr">
        <is>
          <t>Edwin Meza</t>
        </is>
      </c>
      <c r="G30" s="24" t="n">
        <v>46268</v>
      </c>
      <c r="H30" s="24" t="n"/>
      <c r="J30" t="inlineStr">
        <is>
          <t>A tiempo</t>
        </is>
      </c>
      <c r="K30" t="inlineStr">
        <is>
          <t>Media</t>
        </is>
      </c>
    </row>
    <row r="31">
      <c r="A31" t="inlineStr">
        <is>
          <t>Instalar Mandriles en el centro punto de los torno convencionales</t>
        </is>
      </c>
      <c r="B31" t="inlineStr">
        <is>
          <t>Proyecto</t>
        </is>
      </c>
      <c r="D31" t="inlineStr">
        <is>
          <t>Relianz</t>
        </is>
      </c>
      <c r="E31" t="inlineStr">
        <is>
          <t>Edwin Meza</t>
        </is>
      </c>
      <c r="F31" t="inlineStr">
        <is>
          <t>Henry Candelario</t>
        </is>
      </c>
      <c r="G31" s="24" t="n">
        <v>46268</v>
      </c>
      <c r="H31" s="24" t="n"/>
      <c r="J31" t="inlineStr">
        <is>
          <t>Suspendido</t>
        </is>
      </c>
      <c r="K31" t="inlineStr">
        <is>
          <t>Media</t>
        </is>
      </c>
    </row>
    <row r="32">
      <c r="A32" t="inlineStr">
        <is>
          <t>PUNTO FIJO GRANALLADO</t>
        </is>
      </c>
      <c r="B32" t="inlineStr">
        <is>
          <t>Proyecto</t>
        </is>
      </c>
      <c r="D32" t="inlineStr">
        <is>
          <t>Relianz</t>
        </is>
      </c>
      <c r="E32" t="inlineStr">
        <is>
          <t>Juan Lujan</t>
        </is>
      </c>
      <c r="F32" t="inlineStr">
        <is>
          <t>Carlos Martinez</t>
        </is>
      </c>
      <c r="G32" s="24" t="n">
        <v>46268</v>
      </c>
      <c r="H32" s="24" t="n"/>
      <c r="J32" t="inlineStr">
        <is>
          <t>Vencido</t>
        </is>
      </c>
      <c r="K32" t="inlineStr">
        <is>
          <t>Media</t>
        </is>
      </c>
    </row>
    <row r="33">
      <c r="A33" t="inlineStr">
        <is>
          <t>Escuadra Para Alesadoras CNC</t>
        </is>
      </c>
      <c r="B33" t="inlineStr">
        <is>
          <t>Proyecto</t>
        </is>
      </c>
      <c r="D33" t="inlineStr">
        <is>
          <t>Relianz</t>
        </is>
      </c>
      <c r="E33" t="inlineStr">
        <is>
          <t>Edwin Meza</t>
        </is>
      </c>
      <c r="F33" t="inlineStr">
        <is>
          <t>Henry Candelario</t>
        </is>
      </c>
      <c r="G33" s="24" t="n">
        <v>46268</v>
      </c>
      <c r="H33" s="24" t="n"/>
      <c r="J33" t="inlineStr">
        <is>
          <t>Vencido</t>
        </is>
      </c>
      <c r="K33" t="inlineStr">
        <is>
          <t>Media</t>
        </is>
      </c>
    </row>
    <row r="34">
      <c r="A34" t="inlineStr">
        <is>
          <t>vástago servomotor</t>
        </is>
      </c>
      <c r="B34" t="inlineStr">
        <is>
          <t>Ruta y tiempo</t>
        </is>
      </c>
      <c r="C34" t="inlineStr">
        <is>
          <t>OP00081196</t>
        </is>
      </c>
      <c r="D34" t="inlineStr">
        <is>
          <t>EPM</t>
        </is>
      </c>
      <c r="E34" t="inlineStr">
        <is>
          <t>Jaison Sierra</t>
        </is>
      </c>
      <c r="F34" t="inlineStr">
        <is>
          <t>Edwin Meza</t>
        </is>
      </c>
      <c r="G34" s="24" t="n">
        <v>46268</v>
      </c>
      <c r="H34" s="24" t="n">
        <v>46272</v>
      </c>
      <c r="I34" t="n">
        <v>4</v>
      </c>
      <c r="J34" t="inlineStr">
        <is>
          <t>Cerrado</t>
        </is>
      </c>
      <c r="K34" t="inlineStr">
        <is>
          <t>Alta</t>
        </is>
      </c>
    </row>
    <row r="35">
      <c r="A35" t="inlineStr">
        <is>
          <t>PIN CARGADOR VOLVO</t>
        </is>
      </c>
      <c r="B35" t="inlineStr">
        <is>
          <t>Ruta y tiempo</t>
        </is>
      </c>
      <c r="C35" t="inlineStr">
        <is>
          <t>RS00080260 / RS00080272</t>
        </is>
      </c>
      <c r="D35" t="inlineStr">
        <is>
          <t>Compañia De Puertos Asociados S.A.</t>
        </is>
      </c>
      <c r="E35" t="inlineStr">
        <is>
          <t>Jaison Sierra</t>
        </is>
      </c>
      <c r="F35" t="inlineStr">
        <is>
          <t>Edwin Meza</t>
        </is>
      </c>
      <c r="G35" s="24" t="n">
        <v>46268</v>
      </c>
      <c r="H35" s="24" t="n">
        <v>46268</v>
      </c>
      <c r="I35" t="n">
        <v>0</v>
      </c>
      <c r="J35" t="inlineStr">
        <is>
          <t>Cerrado</t>
        </is>
      </c>
      <c r="K35" t="inlineStr">
        <is>
          <t>Alta</t>
        </is>
      </c>
    </row>
    <row r="36">
      <c r="A36" t="inlineStr">
        <is>
          <t>PUNTO FIJO GRINDER</t>
        </is>
      </c>
      <c r="B36" t="inlineStr">
        <is>
          <t>Proyecto</t>
        </is>
      </c>
      <c r="D36" t="inlineStr">
        <is>
          <t>Relianz</t>
        </is>
      </c>
      <c r="E36" t="inlineStr">
        <is>
          <t>Juan Lujan</t>
        </is>
      </c>
      <c r="F36" t="inlineStr">
        <is>
          <t>Carlos Martinez</t>
        </is>
      </c>
      <c r="G36" s="24" t="n">
        <v>46268</v>
      </c>
      <c r="H36" s="24" t="n"/>
      <c r="J36" t="inlineStr">
        <is>
          <t>Vencido</t>
        </is>
      </c>
      <c r="K36" t="inlineStr">
        <is>
          <t>Media</t>
        </is>
      </c>
    </row>
    <row r="37">
      <c r="A37" t="inlineStr">
        <is>
          <t>Cilindro Hidráulico</t>
        </is>
      </c>
      <c r="B37" t="inlineStr">
        <is>
          <t>Ruta y tiempo</t>
        </is>
      </c>
      <c r="C37" t="inlineStr">
        <is>
          <t>RS00067779</t>
        </is>
      </c>
      <c r="D37" t="inlineStr">
        <is>
          <t>ASSEMBLY SDI</t>
        </is>
      </c>
      <c r="E37" t="inlineStr">
        <is>
          <t>Johana Miranda</t>
        </is>
      </c>
      <c r="F37" t="inlineStr">
        <is>
          <t>Edwin Meza</t>
        </is>
      </c>
      <c r="G37" s="24" t="n">
        <v>46267</v>
      </c>
      <c r="H37" s="24" t="n">
        <v>46268</v>
      </c>
      <c r="I37" t="n">
        <v>1</v>
      </c>
      <c r="J37" t="inlineStr">
        <is>
          <t>Cerrado</t>
        </is>
      </c>
      <c r="K37" t="inlineStr">
        <is>
          <t>Media</t>
        </is>
      </c>
    </row>
    <row r="38">
      <c r="A38" t="inlineStr">
        <is>
          <t>Correción Soldadura viajeros</t>
        </is>
      </c>
      <c r="B38" t="inlineStr">
        <is>
          <t>Proyecto</t>
        </is>
      </c>
      <c r="D38" t="inlineStr">
        <is>
          <t>Relianz</t>
        </is>
      </c>
      <c r="E38" t="inlineStr">
        <is>
          <t>Juan Lujan</t>
        </is>
      </c>
      <c r="F38" t="inlineStr">
        <is>
          <t>Carlos Martinez</t>
        </is>
      </c>
      <c r="G38" s="24" t="n">
        <v>46267</v>
      </c>
      <c r="H38" s="24" t="n"/>
      <c r="J38" t="inlineStr">
        <is>
          <t>Suspendido</t>
        </is>
      </c>
      <c r="K38" t="inlineStr">
        <is>
          <t>Media</t>
        </is>
      </c>
    </row>
    <row r="39">
      <c r="A39" t="inlineStr">
        <is>
          <t>Fabricación de vástago servomotor</t>
        </is>
      </c>
      <c r="B39" t="inlineStr">
        <is>
          <t>Ruta y tiempo</t>
        </is>
      </c>
      <c r="C39" t="inlineStr">
        <is>
          <t>OP00081196</t>
        </is>
      </c>
      <c r="D39" t="inlineStr">
        <is>
          <t>Hunan Heye Metal Material Co</t>
        </is>
      </c>
      <c r="E39" t="inlineStr">
        <is>
          <t>Yesid Fren</t>
        </is>
      </c>
      <c r="F39" t="inlineStr">
        <is>
          <t>Edwin Meza</t>
        </is>
      </c>
      <c r="G39" s="24" t="n">
        <v>46267</v>
      </c>
      <c r="H39" s="24" t="n">
        <v>46268</v>
      </c>
      <c r="I39" t="n">
        <v>1</v>
      </c>
      <c r="J39" t="inlineStr">
        <is>
          <t>Cerrado</t>
        </is>
      </c>
      <c r="K39" t="inlineStr">
        <is>
          <t>Media</t>
        </is>
      </c>
    </row>
    <row r="40">
      <c r="A40" t="inlineStr">
        <is>
          <t>Cilindro Proping</t>
        </is>
      </c>
      <c r="B40" t="inlineStr">
        <is>
          <t>Ruta y tiempo</t>
        </is>
      </c>
      <c r="C40" t="inlineStr">
        <is>
          <t>RS00077546</t>
        </is>
      </c>
      <c r="D40" t="inlineStr">
        <is>
          <t>Sociedad Portuaria Puerto Bahía S.A</t>
        </is>
      </c>
      <c r="E40" t="inlineStr">
        <is>
          <t>Johana Miranda</t>
        </is>
      </c>
      <c r="F40" t="inlineStr">
        <is>
          <t>Edwin Meza</t>
        </is>
      </c>
      <c r="G40" s="24" t="n">
        <v>46267</v>
      </c>
      <c r="H40" s="24" t="n"/>
      <c r="J40" t="inlineStr">
        <is>
          <t>Suspendido</t>
        </is>
      </c>
      <c r="K40" t="inlineStr">
        <is>
          <t>Media</t>
        </is>
      </c>
    </row>
  </sheetData>
  <conditionalFormatting sqref="J2:J40">
    <cfRule type="cellIs" priority="1" operator="equal" dxfId="0">
      <formula>"Vencido"</formula>
    </cfRule>
    <cfRule type="cellIs" priority="2" operator="equal" dxfId="1">
      <formula>"Suspendido"</formula>
    </cfRule>
    <cfRule type="cellIs" priority="3" operator="equal" dxfId="2">
      <formula>"Cerrado"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2" customHeight="1">
      <c r="A1" s="15" t="inlineStr">
        <is>
          <t>Colaborador</t>
        </is>
      </c>
      <c r="B1" s="15" t="inlineStr">
        <is>
          <t>Carga total</t>
        </is>
      </c>
      <c r="C1" s="15" t="inlineStr">
        <is>
          <t>Carga actual</t>
        </is>
      </c>
      <c r="D1" s="15" t="inlineStr">
        <is>
          <t>Cerradas en el período</t>
        </is>
      </c>
      <c r="E1" s="15" t="inlineStr">
        <is>
          <t>Vencidas</t>
        </is>
      </c>
      <c r="F1" s="15" t="inlineStr">
        <is>
          <t>Suspendidas</t>
        </is>
      </c>
    </row>
    <row r="2">
      <c r="A2" t="inlineStr">
        <is>
          <t>Carlos Martinez</t>
        </is>
      </c>
      <c r="B2" t="n">
        <v>39</v>
      </c>
      <c r="C2" t="n">
        <v>9</v>
      </c>
      <c r="D2" t="n">
        <v>22</v>
      </c>
      <c r="E2" t="n">
        <v>7</v>
      </c>
      <c r="F2" t="n">
        <v>6</v>
      </c>
    </row>
    <row r="3">
      <c r="A3" t="inlineStr">
        <is>
          <t>Edwin Meza</t>
        </is>
      </c>
      <c r="B3" t="n">
        <v>18</v>
      </c>
      <c r="C3" t="n">
        <v>14</v>
      </c>
      <c r="D3" t="n">
        <v>3</v>
      </c>
      <c r="E3" t="n">
        <v>9</v>
      </c>
      <c r="F3" t="n">
        <v>0</v>
      </c>
    </row>
    <row r="4">
      <c r="A4" t="inlineStr">
        <is>
          <t>Henry Candelario</t>
        </is>
      </c>
      <c r="B4" t="n">
        <v>12</v>
      </c>
      <c r="C4" t="n">
        <v>10</v>
      </c>
      <c r="D4" t="n">
        <v>2</v>
      </c>
      <c r="E4" t="n">
        <v>8</v>
      </c>
      <c r="F4" t="n">
        <v>0</v>
      </c>
    </row>
    <row r="5">
      <c r="A5" s="25" t="inlineStr">
        <is>
          <t>TOTAL</t>
        </is>
      </c>
      <c r="B5" s="25">
        <f>SUM(B2:B4)</f>
        <v/>
      </c>
      <c r="C5" s="25">
        <f>SUM(C2:C4)</f>
        <v/>
      </c>
      <c r="D5" s="25">
        <f>SUM(D2:D4)</f>
        <v/>
      </c>
      <c r="E5" s="25">
        <f>SUM(E2:E4)</f>
        <v/>
      </c>
      <c r="F5" s="25">
        <f>SUM(F2:F4)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2026-10-05T12:51:28Z</dcterms:created>
  <dcterms:modified xsi:type="dcterms:W3CDTF">2026-10-05T12:51:28Z</dcterms:modified>
</cp:coreProperties>
</file>